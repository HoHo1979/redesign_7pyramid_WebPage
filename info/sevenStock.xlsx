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七銘-庫存" sheetId="1" r:id="rId4"/>
    <sheet state="visible" name="七銘-級數酒庫存" sheetId="2" r:id="rId5"/>
  </sheets>
  <definedNames>
    <definedName hidden="1" localSheetId="0" name="_xlnm._FilterDatabase">'七銘-庫存'!$A$1:$N$997</definedName>
    <definedName hidden="1" localSheetId="1" name="_xlnm._FilterDatabase">'七銘-級數酒庫存'!$A$1:$N$1000</definedName>
  </definedNames>
  <calcPr/>
  <extLst>
    <ext uri="GoogleSheetsCustomDataVersion2">
      <go:sheetsCustomData xmlns:go="http://customooxmlschemas.google.com/" r:id="rId6" roundtripDataChecksum="LqrM6G/UF9aXpbsRfLna7b/hpcJrb+5FTt/N/Y5qLcQ="/>
    </ext>
  </extLst>
</workbook>
</file>

<file path=xl/sharedStrings.xml><?xml version="1.0" encoding="utf-8"?>
<sst xmlns="http://schemas.openxmlformats.org/spreadsheetml/2006/main" count="6830" uniqueCount="4470">
  <si>
    <t>產品編號</t>
  </si>
  <si>
    <t xml:space="preserve">產品名稱                                           </t>
  </si>
  <si>
    <t xml:space="preserve">中文名稱                                           </t>
  </si>
  <si>
    <t>分數</t>
  </si>
  <si>
    <t>七銘庫存/瓶</t>
  </si>
  <si>
    <t>專賣進價</t>
  </si>
  <si>
    <t>搭贈方式</t>
  </si>
  <si>
    <t>建議售價</t>
  </si>
  <si>
    <t>每瓶單價</t>
  </si>
  <si>
    <t>直銷價/瓶</t>
  </si>
  <si>
    <t>＊外購威士忌</t>
  </si>
  <si>
    <t>BAX.O酒</t>
  </si>
  <si>
    <t xml:space="preserve">Barnett     X.O </t>
  </si>
  <si>
    <t>百利特</t>
  </si>
  <si>
    <t xml:space="preserve"> 為原始樣品酒               公司保留</t>
  </si>
  <si>
    <t>瓶</t>
  </si>
  <si>
    <t>K040</t>
  </si>
  <si>
    <t>Presentation Bowmore Islay</t>
  </si>
  <si>
    <t>40年威士忌</t>
  </si>
  <si>
    <t>公司保留</t>
  </si>
  <si>
    <t>K025</t>
  </si>
  <si>
    <t>Kings Pride Scotch Whisky</t>
  </si>
  <si>
    <t>25年威士忌</t>
  </si>
  <si>
    <t>KS16</t>
  </si>
  <si>
    <t>Mcclelland’s Highlkand Malt</t>
  </si>
  <si>
    <t>16年單一麥威士忌</t>
  </si>
  <si>
    <t>A114</t>
  </si>
  <si>
    <t xml:space="preserve">Aberlour a Bunadh 60.9% 
</t>
  </si>
  <si>
    <t>亞伯樂經典原酒</t>
  </si>
  <si>
    <t>A10102</t>
  </si>
  <si>
    <t xml:space="preserve">anCnoc 12Y Highland Single Malt Scotch Whisky
</t>
  </si>
  <si>
    <t>安努克 12 年</t>
  </si>
  <si>
    <t>W129-B</t>
  </si>
  <si>
    <t xml:space="preserve">Auchroisk 10Y </t>
  </si>
  <si>
    <t>歐軒威士忌</t>
  </si>
  <si>
    <t>Aultmore 12Y Foggie-Moss Speyside</t>
  </si>
  <si>
    <t>雅摩(雅墨) 12 年</t>
  </si>
  <si>
    <t>A112</t>
  </si>
  <si>
    <t xml:space="preserve">Ardbeg 10Y 
</t>
  </si>
  <si>
    <t>阿輩(雅柏) 10 年</t>
  </si>
  <si>
    <t>W121-D</t>
  </si>
  <si>
    <t>Ardbeg Uigeadail</t>
  </si>
  <si>
    <t>亞柏樂園威士忌</t>
  </si>
  <si>
    <t>B012</t>
  </si>
  <si>
    <t>Ballantines Glenburgie 12 Year Old</t>
  </si>
  <si>
    <t>百齡譚 12 年</t>
  </si>
  <si>
    <t>WSK-TBV-21
BALVVENIE-21(宏嘉)</t>
  </si>
  <si>
    <t xml:space="preserve">Balvenie 21Y Caribbean Cask
</t>
  </si>
  <si>
    <t>百富 21 年-波特桶</t>
  </si>
  <si>
    <t>珈品</t>
  </si>
  <si>
    <t>6000
7900</t>
  </si>
  <si>
    <t>BALVENIE-14</t>
  </si>
  <si>
    <t xml:space="preserve">Balvenie 14Y Caribbean Cask
</t>
  </si>
  <si>
    <t>百富 14 年</t>
  </si>
  <si>
    <t>BALVENIE-12</t>
  </si>
  <si>
    <t xml:space="preserve">Balvenie 12Y Caribbean Cask
</t>
  </si>
  <si>
    <t>百富 12 年-雙桶</t>
  </si>
  <si>
    <t>B500</t>
  </si>
  <si>
    <t>Bowmore 26Y Islay Single Malt Scotch Whisky</t>
  </si>
  <si>
    <t>波摩 26 年</t>
  </si>
  <si>
    <t>B400</t>
  </si>
  <si>
    <t xml:space="preserve">Bowmore 15Y Islay Single Malt Scotch Whisky
</t>
  </si>
  <si>
    <t>波摩 15 年</t>
  </si>
  <si>
    <t>BNHB-25</t>
  </si>
  <si>
    <t xml:space="preserve">Bunnahabhain 13Y Islay Singel Malt Scotch Whisky 
</t>
  </si>
  <si>
    <t>布納哈本 25 年</t>
  </si>
  <si>
    <t>BNHB-12</t>
  </si>
  <si>
    <t xml:space="preserve">Bunnahabhain 12Y Islay Singel Malt Scotch Whisky 
</t>
  </si>
  <si>
    <t>布納哈本 12 年</t>
  </si>
  <si>
    <t xml:space="preserve">Caol Ila 12Y Islay Single Malt Scotch Whisky
</t>
  </si>
  <si>
    <t>卡爾里拉 12 年</t>
  </si>
  <si>
    <t>WSK-MD-2008</t>
  </si>
  <si>
    <t>The Dalmore 2008Yers Old</t>
  </si>
  <si>
    <t>大摩 2008 年</t>
  </si>
  <si>
    <t>WSK-DM-18</t>
  </si>
  <si>
    <t xml:space="preserve">The Dalmore 18 Yers Old
</t>
  </si>
  <si>
    <t>大摩 18 年</t>
  </si>
  <si>
    <t>WSK-DM-15</t>
  </si>
  <si>
    <t>The Dalmore 15 Yers Old</t>
  </si>
  <si>
    <t>大摩 15 年</t>
  </si>
  <si>
    <t>WSK-DM-12</t>
  </si>
  <si>
    <t>The Dalmore 12 Yers Old</t>
  </si>
  <si>
    <t>大摩 12 年</t>
  </si>
  <si>
    <t>圳程</t>
  </si>
  <si>
    <t>WSK-FG-01</t>
  </si>
  <si>
    <t>THE FAMOUS GROUSE FINEST BLENDED</t>
  </si>
  <si>
    <t>威雀金冠威士忌NV</t>
  </si>
  <si>
    <t>GLDN-21</t>
  </si>
  <si>
    <t>The Glendronach 21 Years Old</t>
  </si>
  <si>
    <t>格蘭多納 21 年</t>
  </si>
  <si>
    <t>GL-25</t>
  </si>
  <si>
    <t>The Glenlivet 25 Years Of Age</t>
  </si>
  <si>
    <t>格蘭利威 25 年</t>
  </si>
  <si>
    <t>GL-13</t>
  </si>
  <si>
    <t>The Glenlivet 13 Years Of Age</t>
  </si>
  <si>
    <t>格蘭利威 13 年</t>
  </si>
  <si>
    <t>GLEN-25</t>
  </si>
  <si>
    <t>GLEN  FARCLAS 25</t>
  </si>
  <si>
    <t xml:space="preserve">格蘭花格 25 年  </t>
  </si>
  <si>
    <t>美力寶</t>
  </si>
  <si>
    <t>GLFC-21</t>
  </si>
  <si>
    <t>GLEN  FARCLAS 21</t>
  </si>
  <si>
    <t>格蘭花格 21 年</t>
  </si>
  <si>
    <t>品陳</t>
  </si>
  <si>
    <t>GLEN-17</t>
  </si>
  <si>
    <t>GLEN  FARCLAS 17</t>
  </si>
  <si>
    <t xml:space="preserve">格蘭花格 17 年 </t>
  </si>
  <si>
    <t>GLFD-22</t>
  </si>
  <si>
    <t>Glenfiddich Gran Cortes XXII</t>
  </si>
  <si>
    <t>格蘭菲迪 22 年</t>
  </si>
  <si>
    <t>WSK-GF-12
GLFD-12(宏嘉)</t>
  </si>
  <si>
    <r>
      <rPr>
        <rFont val="PMingLiu"/>
        <b/>
        <color theme="1"/>
        <sz val="11.0"/>
      </rPr>
      <t xml:space="preserve">GLENFIDDICH 12 YEARS OLD SINGLE MALT SCOTCH </t>
    </r>
    <r>
      <rPr>
        <rFont val="新細明體"/>
        <b/>
        <color rgb="FFFF0000"/>
        <sz val="11.0"/>
      </rPr>
      <t>1L</t>
    </r>
  </si>
  <si>
    <t>格蘭菲迪 12 年 (一公升)</t>
  </si>
  <si>
    <t>WSK-GLRS-1988
GLRS-1988(宏嘉)</t>
  </si>
  <si>
    <t>The Glenrothes 1988</t>
  </si>
  <si>
    <t>格蘭路思 20 年</t>
  </si>
  <si>
    <t>富大</t>
  </si>
  <si>
    <t xml:space="preserve">6500
</t>
  </si>
  <si>
    <t>WSK-JW-21</t>
  </si>
  <si>
    <t>Johnnie Walker</t>
  </si>
  <si>
    <t>約翰走路 21 年(XR)</t>
  </si>
  <si>
    <t>WSK-JW-12
JW-12(宏嘉)</t>
  </si>
  <si>
    <t>約翰走路黑牌 12 年</t>
  </si>
  <si>
    <t xml:space="preserve">750
</t>
  </si>
  <si>
    <t>L112</t>
  </si>
  <si>
    <t xml:space="preserve">Lagavulin 16 years
</t>
  </si>
  <si>
    <t>樂嘉富林(樂加維林) 16 年</t>
  </si>
  <si>
    <t>W148-J</t>
  </si>
  <si>
    <t>Laphroaig PX 1L</t>
  </si>
  <si>
    <t>拉豐吉</t>
  </si>
  <si>
    <t>MA-018</t>
  </si>
  <si>
    <t>The MACALLAN highland single malt scotch whisky 18</t>
  </si>
  <si>
    <t>麥卡倫 18 年(黃金三桶)</t>
  </si>
  <si>
    <t>麥卡倫 18 年(雪莉桶)</t>
  </si>
  <si>
    <t>金良運</t>
  </si>
  <si>
    <t>WSK-MA-15</t>
  </si>
  <si>
    <t>The MACALLAN highland single malt scotch whisky 15</t>
  </si>
  <si>
    <t xml:space="preserve">麥卡倫 15 年(雪莉雙桶) </t>
  </si>
  <si>
    <t>豊棋</t>
  </si>
  <si>
    <t>MA-EARTH</t>
  </si>
  <si>
    <t>MACALLAN A Night On Earth In Scotland</t>
  </si>
  <si>
    <t>麥卡倫  地球之夜</t>
  </si>
  <si>
    <t>MA-015</t>
  </si>
  <si>
    <t>麥卡倫 15 年(黃金三桶)</t>
  </si>
  <si>
    <t>MA-SE-12</t>
  </si>
  <si>
    <t>The MACALLAN highland single malt scotch whisky 12</t>
  </si>
  <si>
    <t xml:space="preserve">麥卡倫 12 年(雪莉桶)                </t>
  </si>
  <si>
    <t>MA-012</t>
  </si>
  <si>
    <t xml:space="preserve">麥卡倫 12 年(雪莉雙桶)                 </t>
  </si>
  <si>
    <t>MH-20</t>
  </si>
  <si>
    <t>Mortlach 20Y Distilled Single Malt Scotch Whisky</t>
  </si>
  <si>
    <t>慕赫 20 年</t>
  </si>
  <si>
    <t>MH-16</t>
  </si>
  <si>
    <t>Mortlach 16Y Distilled Single Malt Scotch Whisky</t>
  </si>
  <si>
    <t>慕赫 16 年</t>
  </si>
  <si>
    <t>WSK-MH-12
MH-12(宏嘉)</t>
  </si>
  <si>
    <t>Mortlach 12Y Distilled Single Malt Scotch Whisky</t>
  </si>
  <si>
    <t>慕赫 12 年</t>
  </si>
  <si>
    <t>WSK-NK-S</t>
  </si>
  <si>
    <t>Naked Malt Naked First-Fill Sherry Casks</t>
  </si>
  <si>
    <t>裸雀初次雪莉桶-裸鑽21</t>
  </si>
  <si>
    <t>N1555</t>
  </si>
  <si>
    <t>Nikka Whisky From The Barrel 51%</t>
  </si>
  <si>
    <t>WSK-RS-213</t>
  </si>
  <si>
    <t>Royal Salute 21 Years Old The Signature Blend</t>
  </si>
  <si>
    <r>
      <rPr>
        <rFont val="PMingLiu"/>
        <b/>
        <color rgb="FF000000"/>
        <sz val="11.0"/>
      </rPr>
      <t xml:space="preserve">皇家禮炮 21 年調和式威士忌 </t>
    </r>
    <r>
      <rPr>
        <rFont val="新細明體"/>
        <b/>
        <color rgb="FFFF0000"/>
        <sz val="11.0"/>
      </rPr>
      <t>3L</t>
    </r>
  </si>
  <si>
    <t>WSK-RS-21</t>
  </si>
  <si>
    <t>Royal Salute 21 Years Old Blended Scotch Whisky</t>
  </si>
  <si>
    <r>
      <rPr>
        <rFont val="PMingLiu"/>
        <b/>
        <color rgb="FF000000"/>
        <sz val="11.0"/>
      </rPr>
      <t xml:space="preserve">皇家禮炮 21 年調和式威士忌 </t>
    </r>
    <r>
      <rPr>
        <rFont val="新細明體"/>
        <b/>
        <color rgb="FFFF0000"/>
        <sz val="11.0"/>
      </rPr>
      <t xml:space="preserve">1L  </t>
    </r>
  </si>
  <si>
    <t>CH-021</t>
  </si>
  <si>
    <t>ROYAL SALUTE 21 YEARS OLD</t>
  </si>
  <si>
    <t xml:space="preserve">皇家禮炮-王者之鑽    </t>
  </si>
  <si>
    <t>WSK-RS-021</t>
  </si>
  <si>
    <t>Royal Salute 21 The Signature Blend 700ml</t>
  </si>
  <si>
    <t>皇家禮炮 21 年(藍瓶)</t>
  </si>
  <si>
    <t>圳程2320珈品2380</t>
  </si>
  <si>
    <t>2001-9-01</t>
  </si>
  <si>
    <t>The Singleton Aged 15 Years</t>
  </si>
  <si>
    <t>蘇格登 15 年(亞版)</t>
  </si>
  <si>
    <t>W087-Q</t>
  </si>
  <si>
    <t>Talisker Storm</t>
  </si>
  <si>
    <t>塔斯克風暴純麥威士忌</t>
  </si>
  <si>
    <t>WSK-WMNB-33</t>
  </si>
  <si>
    <t>W &amp; M Norrh British 33Y Single Grain Scotch Whisky</t>
  </si>
  <si>
    <t>威爾森x摩根 北星殼類 33 年威士忌</t>
  </si>
  <si>
    <t>LL007</t>
  </si>
  <si>
    <t>Kahlua</t>
  </si>
  <si>
    <t>卡魯哇</t>
  </si>
  <si>
    <t>LT004-C</t>
  </si>
  <si>
    <t>Patron Anejo</t>
  </si>
  <si>
    <t>金塔金色龍舌蘭</t>
  </si>
  <si>
    <t>UNE001</t>
  </si>
  <si>
    <t>萬家香波本桶熟成梅酒</t>
  </si>
  <si>
    <t>UNE002</t>
  </si>
  <si>
    <t>白鶴藏元梅酒原酒</t>
  </si>
  <si>
    <t>＊高梁酒</t>
  </si>
  <si>
    <t>ALI-103</t>
  </si>
  <si>
    <t>阿里山高梁酒</t>
  </si>
  <si>
    <t>Z026-ALI</t>
  </si>
  <si>
    <t>阿里山高梁酒空瓶模型</t>
  </si>
  <si>
    <t>K-100-1</t>
  </si>
  <si>
    <t>嘉工百年校慶紀念酒(110年8月24日到)</t>
  </si>
  <si>
    <t>捐款20瓶@2000   (何經10瓶)</t>
  </si>
  <si>
    <t>KM-100</t>
  </si>
  <si>
    <t>百年高梁紀念酒 (KM-100)  600ML 53度</t>
  </si>
  <si>
    <t>百年高梁紀念酒</t>
  </si>
  <si>
    <t>不銷售保留</t>
  </si>
  <si>
    <t>KK060-05</t>
  </si>
  <si>
    <t>五年陳高禮盒</t>
  </si>
  <si>
    <t>擎崗</t>
  </si>
  <si>
    <t>K058-01</t>
  </si>
  <si>
    <t>金門高粱酒58度蟠龍紀念酒</t>
  </si>
  <si>
    <t>K058-02</t>
  </si>
  <si>
    <t>金門高粱酒58 白沙屯</t>
  </si>
  <si>
    <t>金門高粱酒58 白金龍海洋</t>
  </si>
  <si>
    <t>維斯吉</t>
  </si>
  <si>
    <t>KK060-12</t>
  </si>
  <si>
    <t>金門高粱酒 白金龍赤焰</t>
  </si>
  <si>
    <t>＊法國 D.O.C</t>
  </si>
  <si>
    <t>VI-1804-ME</t>
  </si>
  <si>
    <t>Winebar Merlot 2018</t>
  </si>
  <si>
    <t>羅浮宮紅葡萄酒</t>
  </si>
  <si>
    <t>300
290</t>
  </si>
  <si>
    <t>11+1
55+5</t>
  </si>
  <si>
    <t>VI-1832-X</t>
  </si>
  <si>
    <t>Remy Gourmont 2018</t>
  </si>
  <si>
    <t>龐德紅葡萄酒</t>
  </si>
  <si>
    <t>290
280</t>
  </si>
  <si>
    <t>VI-2051-X</t>
  </si>
  <si>
    <t xml:space="preserve">Le Petit Charme 2020 </t>
  </si>
  <si>
    <t>特優佳儷紅葡萄酒</t>
  </si>
  <si>
    <t>290
270</t>
  </si>
  <si>
    <t xml:space="preserve">11+1                           55+5              </t>
  </si>
  <si>
    <t>VI-1952-X</t>
  </si>
  <si>
    <t>SENSE ROYAL MARQUIS 2019</t>
  </si>
  <si>
    <t>精選皇家騎士紅葡萄酒</t>
  </si>
  <si>
    <t>＊法國 I.G.P</t>
  </si>
  <si>
    <t>VI-2109-CA.GN</t>
  </si>
  <si>
    <t>Les Romantiques/IGP 2021</t>
  </si>
  <si>
    <t>羅曼尼紅葡萄酒</t>
  </si>
  <si>
    <t>12@200    24@192       60+2@190   120+5@187</t>
  </si>
  <si>
    <t>VI-2110-CA.GN</t>
  </si>
  <si>
    <t>La Franciade/IGP 2021</t>
  </si>
  <si>
    <t>富利太紅葡萄酒</t>
  </si>
  <si>
    <t>220
210</t>
  </si>
  <si>
    <t>11+1       55+5</t>
  </si>
  <si>
    <t>＊法國-CB+AOC+BS</t>
  </si>
  <si>
    <t>SW044-10-SJ</t>
  </si>
  <si>
    <t>CH Haut-Beychevelle Gloria 2010</t>
  </si>
  <si>
    <t>科羅瑞城堡-6入木箱</t>
  </si>
  <si>
    <t>X</t>
  </si>
  <si>
    <t>SW063-16-BS</t>
  </si>
  <si>
    <t>Chateau Lalene Cuvee Prestige 2016</t>
  </si>
  <si>
    <t>雷凌城堡-6入木箱</t>
  </si>
  <si>
    <t>11+1</t>
  </si>
  <si>
    <t>SW063-20-BS</t>
  </si>
  <si>
    <r>
      <rPr>
        <rFont val="PMingLiu"/>
        <b/>
        <color rgb="FF000000"/>
        <sz val="11.0"/>
      </rPr>
      <t xml:space="preserve">CH LALENE CUVEE PRESTIGE 2020                                         </t>
    </r>
  </si>
  <si>
    <r>
      <rPr>
        <rFont val="PMingLiu"/>
        <b/>
        <color rgb="FF000000"/>
        <sz val="11.0"/>
      </rPr>
      <t>雷凌城堡-6入</t>
    </r>
    <r>
      <rPr>
        <rFont val="新細明體"/>
        <b/>
        <color rgb="FF000000"/>
        <sz val="11.0"/>
      </rPr>
      <t>木箱</t>
    </r>
  </si>
  <si>
    <t>SW036-15-CB</t>
  </si>
  <si>
    <t>Ch Bel Air 2015</t>
  </si>
  <si>
    <t>貝爾城堡-6入木箱</t>
  </si>
  <si>
    <t xml:space="preserve">SW058-20-CB </t>
  </si>
  <si>
    <t xml:space="preserve">CH LALANDE D'AUVION 2020                                                     </t>
  </si>
  <si>
    <r>
      <rPr>
        <rFont val="PMingLiu"/>
        <b/>
        <color rgb="FF000000"/>
        <sz val="11.0"/>
      </rPr>
      <t xml:space="preserve">樂朗德城堡 / </t>
    </r>
    <r>
      <rPr>
        <rFont val="新細明體"/>
        <b/>
        <color rgb="FF0070C0"/>
        <sz val="11.0"/>
      </rPr>
      <t>6瓶紙箱</t>
    </r>
  </si>
  <si>
    <t>SW065-19-CB</t>
  </si>
  <si>
    <t xml:space="preserve">CH PONTEY 2019                                                             </t>
  </si>
  <si>
    <r>
      <rPr>
        <rFont val="PMingLiu"/>
        <b/>
        <color rgb="FF000000"/>
        <sz val="11.0"/>
      </rPr>
      <t xml:space="preserve">龐特城堡 / </t>
    </r>
    <r>
      <rPr>
        <rFont val="新細明體"/>
        <b/>
        <color rgb="FF0070C0"/>
        <sz val="11.0"/>
      </rPr>
      <t>6瓶紙箱</t>
    </r>
  </si>
  <si>
    <t>SW066-18-CB</t>
  </si>
  <si>
    <t xml:space="preserve">CH LAFON 2018                                                          </t>
  </si>
  <si>
    <r>
      <rPr>
        <rFont val="PMingLiu"/>
        <b/>
        <color rgb="FF000000"/>
        <sz val="11.0"/>
      </rPr>
      <t xml:space="preserve">雷峰城堡 / </t>
    </r>
    <r>
      <rPr>
        <rFont val="新細明體"/>
        <b/>
        <color rgb="FF0070C0"/>
        <sz val="11.0"/>
      </rPr>
      <t>6瓶紙箱</t>
    </r>
  </si>
  <si>
    <t>BM-28-1801</t>
  </si>
  <si>
    <t xml:space="preserve">BM 28 BORDEAUX 2018  </t>
  </si>
  <si>
    <r>
      <rPr>
        <rFont val="PMingLiu"/>
        <b/>
        <color rgb="FF000000"/>
        <sz val="11.0"/>
      </rPr>
      <t>克萊蒙教皇堡主28經典限量波爾多/</t>
    </r>
    <r>
      <rPr>
        <rFont val="新細明體"/>
        <b/>
        <color rgb="FF0070C0"/>
        <sz val="11.0"/>
      </rPr>
      <t>6瓶紙箱</t>
    </r>
  </si>
  <si>
    <t>BM-58-1904</t>
  </si>
  <si>
    <t>BM 58 MEDOC 2019</t>
  </si>
  <si>
    <r>
      <rPr>
        <rFont val="PMingLiu"/>
        <b/>
        <color rgb="FF000000"/>
        <sz val="11.0"/>
      </rPr>
      <t>克萊蒙教皇堡主58傳奇限量梅多克/</t>
    </r>
    <r>
      <rPr>
        <rFont val="新細明體"/>
        <b/>
        <color rgb="FF0070C0"/>
        <sz val="11.0"/>
      </rPr>
      <t>6瓶紙箱</t>
    </r>
  </si>
  <si>
    <t>LD-002-15-AC</t>
  </si>
  <si>
    <t>SELECTION PIERRE LURTON 2015</t>
  </si>
  <si>
    <r>
      <rPr>
        <rFont val="PMingLiu"/>
        <b/>
        <color rgb="FF000000"/>
        <sz val="11.0"/>
      </rPr>
      <t xml:space="preserve">白馬堡總管精選 / </t>
    </r>
    <r>
      <rPr>
        <rFont val="新細明體"/>
        <b/>
        <color rgb="FF0070C0"/>
        <sz val="11.0"/>
      </rPr>
      <t>6瓶紙箱</t>
    </r>
  </si>
  <si>
    <t>12+1</t>
  </si>
  <si>
    <t>MG-003-16-AC</t>
  </si>
  <si>
    <r>
      <rPr>
        <rFont val="PMingLiu"/>
        <b/>
        <color rgb="FF000000"/>
        <sz val="11.0"/>
      </rPr>
      <t xml:space="preserve">Chateau du Rival 2016    </t>
    </r>
  </si>
  <si>
    <t>杜樂瓦城堡-6入木箱</t>
  </si>
  <si>
    <t>MG-005-20-AC</t>
  </si>
  <si>
    <t>CH LARY LACOMBE 2020</t>
  </si>
  <si>
    <r>
      <rPr>
        <rFont val="PMingLiu"/>
        <b/>
        <color rgb="FF000000"/>
        <sz val="11.0"/>
      </rPr>
      <t xml:space="preserve">雷康柏城堡 / </t>
    </r>
    <r>
      <rPr>
        <rFont val="新細明體"/>
        <b/>
        <color rgb="FF0070C0"/>
        <sz val="11.0"/>
      </rPr>
      <t>6瓶紙箱</t>
    </r>
  </si>
  <si>
    <t>MACON
GELBERT
GAILLARD VINOFED
2021 金牌獎
JS 90-91/D91</t>
  </si>
  <si>
    <t>12瓶- 650                       24瓶--600</t>
  </si>
  <si>
    <t>MG-006-20-AC</t>
  </si>
  <si>
    <t>Comte desclos 2020</t>
  </si>
  <si>
    <r>
      <rPr>
        <rFont val="PMingLiu"/>
        <b/>
        <color rgb="FF000000"/>
        <sz val="11.0"/>
      </rPr>
      <t xml:space="preserve">康蒂克酒莊 / </t>
    </r>
    <r>
      <rPr>
        <rFont val="新細明體"/>
        <b/>
        <color rgb="FF0070C0"/>
        <sz val="11.0"/>
      </rPr>
      <t>6瓶紙箱</t>
    </r>
  </si>
  <si>
    <t>MG-007-19-AC</t>
  </si>
  <si>
    <t>CH CALET 2019</t>
  </si>
  <si>
    <r>
      <rPr>
        <rFont val="PMingLiu"/>
        <b/>
        <color rgb="FF000000"/>
        <sz val="11.0"/>
      </rPr>
      <t xml:space="preserve">凱勒城堡 / </t>
    </r>
    <r>
      <rPr>
        <rFont val="新細明體"/>
        <b/>
        <color rgb="FF0070C0"/>
        <sz val="11.0"/>
      </rPr>
      <t>6瓶紙箱</t>
    </r>
  </si>
  <si>
    <t>MS-001-17-AC</t>
  </si>
  <si>
    <t>LITTLE K BY BORDEAUX 2017</t>
  </si>
  <si>
    <r>
      <rPr>
        <rFont val="PMingLiu"/>
        <b/>
        <color rgb="FF000000"/>
        <sz val="11.0"/>
      </rPr>
      <t xml:space="preserve">奇旺小王子酒莊 / </t>
    </r>
    <r>
      <rPr>
        <rFont val="新細明體"/>
        <b/>
        <color rgb="FF0070C0"/>
        <sz val="11.0"/>
      </rPr>
      <t>6瓶紙箱</t>
    </r>
  </si>
  <si>
    <t>12瓶--600               24瓶--550</t>
  </si>
  <si>
    <t>LM-001-22-AC</t>
  </si>
  <si>
    <t xml:space="preserve">LA LOGE 2022            </t>
  </si>
  <si>
    <r>
      <rPr>
        <rFont val="PMingLiu"/>
        <b/>
        <color rgb="FF000000"/>
        <sz val="11.0"/>
      </rPr>
      <t xml:space="preserve">龍吉莊園紅葡萄酒                  </t>
    </r>
    <r>
      <rPr>
        <rFont val="新細明體"/>
        <b/>
        <color rgb="FFFF0000"/>
        <sz val="11.0"/>
      </rPr>
      <t xml:space="preserve"> </t>
    </r>
  </si>
  <si>
    <t>11+1           22+2+2       44+4+6</t>
  </si>
  <si>
    <t>LM-001-23-AC</t>
  </si>
  <si>
    <t>LA LOGE 2023</t>
  </si>
  <si>
    <r>
      <rPr>
        <rFont val="PMingLiu"/>
        <b/>
        <color rgb="FF000000"/>
        <sz val="11.0"/>
      </rPr>
      <t xml:space="preserve">龍吉莊園紅葡萄酒                  </t>
    </r>
    <r>
      <rPr>
        <rFont val="新細明體"/>
        <b/>
        <color rgb="FFFF0000"/>
        <sz val="11.0"/>
      </rPr>
      <t xml:space="preserve"> </t>
    </r>
  </si>
  <si>
    <t>11+1
33+3+3
44+4+6</t>
  </si>
  <si>
    <t>LM-002-23-AC</t>
  </si>
  <si>
    <t xml:space="preserve">LA VIEILLE EGLISE 2023            </t>
  </si>
  <si>
    <t xml:space="preserve">老教堂莊園紅葡萄酒              </t>
  </si>
  <si>
    <t>LM-003-22-AC</t>
  </si>
  <si>
    <t xml:space="preserve">DE REYNE 2022            </t>
  </si>
  <si>
    <r>
      <rPr>
        <rFont val="PMingLiu"/>
        <b/>
        <color rgb="FF000000"/>
        <sz val="11.0"/>
      </rPr>
      <t xml:space="preserve">萊恩莊園紅葡萄酒                       </t>
    </r>
    <r>
      <rPr>
        <rFont val="新細明體"/>
        <b/>
        <color rgb="FFFF0000"/>
        <sz val="11.0"/>
      </rPr>
      <t xml:space="preserve"> </t>
    </r>
  </si>
  <si>
    <t>LM-004-22-AC</t>
  </si>
  <si>
    <t xml:space="preserve">MURETS DE MEZ 2022            </t>
  </si>
  <si>
    <t>穆雷莊園紅葡萄酒</t>
  </si>
  <si>
    <t>LM-004-23-AC</t>
  </si>
  <si>
    <t>MURETS DE MEZ 2023</t>
  </si>
  <si>
    <t>SW029-18-AC</t>
  </si>
  <si>
    <t>Baron La Rose -Red 2018</t>
  </si>
  <si>
    <t>拉洛斯城堡紅酒-6入木箱</t>
  </si>
  <si>
    <t>SW029-20-AC</t>
  </si>
  <si>
    <t xml:space="preserve">BARON LA ROSE VIEILLES VIGNES 2020                                </t>
  </si>
  <si>
    <r>
      <rPr>
        <rFont val="PMingLiu"/>
        <b/>
        <color rgb="FF000000"/>
        <sz val="11.0"/>
      </rPr>
      <t xml:space="preserve">拉洛絲城堡 / </t>
    </r>
    <r>
      <rPr>
        <rFont val="新細明體"/>
        <b/>
        <color rgb="FF0070C0"/>
        <sz val="11.0"/>
      </rPr>
      <t>6瓶紙箱</t>
    </r>
  </si>
  <si>
    <t>SW042-20-AC</t>
  </si>
  <si>
    <t xml:space="preserve">CH LA ROSE MONTAURAN 2020                                 </t>
  </si>
  <si>
    <r>
      <rPr>
        <rFont val="PMingLiu"/>
        <b/>
        <color rgb="FF000000"/>
        <sz val="11.0"/>
      </rPr>
      <t xml:space="preserve">慕達拉城堡 / </t>
    </r>
    <r>
      <rPr>
        <rFont val="新細明體"/>
        <b/>
        <color rgb="FF0070C0"/>
        <sz val="11.0"/>
      </rPr>
      <t>6瓶紙箱</t>
    </r>
  </si>
  <si>
    <t>SW064-22-AC</t>
  </si>
  <si>
    <t xml:space="preserve">CH DES PERLIGUES 2022                                   </t>
  </si>
  <si>
    <r>
      <rPr>
        <rFont val="PMingLiu"/>
        <b/>
        <color rgb="FF000000"/>
        <sz val="11.0"/>
      </rPr>
      <t xml:space="preserve">沛格城堡 / </t>
    </r>
    <r>
      <rPr>
        <rFont val="新細明體"/>
        <b/>
        <color rgb="FF0070C0"/>
        <sz val="11.0"/>
      </rPr>
      <t>6瓶紙箱</t>
    </r>
  </si>
  <si>
    <t>LD-002-16-AC-W</t>
  </si>
  <si>
    <t>Selection Pierre Lurton Blanc 2016</t>
  </si>
  <si>
    <r>
      <rPr>
        <rFont val="PMingLiu"/>
        <b/>
        <color rgb="FF000000"/>
        <sz val="11.0"/>
      </rPr>
      <t>白馬堡總管精選白葡萄酒/</t>
    </r>
    <r>
      <rPr>
        <rFont val="新細明體"/>
        <b/>
        <color rgb="FF0070C0"/>
        <sz val="11.0"/>
      </rPr>
      <t>6瓶紙箱</t>
    </r>
  </si>
  <si>
    <t>SW064-22-ACW</t>
  </si>
  <si>
    <r>
      <rPr>
        <rFont val="PMingLiu"/>
        <b/>
        <color rgb="FF000000"/>
        <sz val="11.0"/>
      </rPr>
      <t xml:space="preserve">CH DES PERLIGUES Blanc 2022                             </t>
    </r>
  </si>
  <si>
    <r>
      <rPr>
        <rFont val="PMingLiu"/>
        <b/>
        <color rgb="FF000000"/>
        <sz val="11.0"/>
      </rPr>
      <t>沛格城堡白葡萄酒/</t>
    </r>
    <r>
      <rPr>
        <rFont val="新細明體"/>
        <b/>
        <color rgb="FF0070C0"/>
        <sz val="11.0"/>
      </rPr>
      <t>6瓶紙箱</t>
    </r>
  </si>
  <si>
    <t>SW025-22-ACW</t>
  </si>
  <si>
    <t xml:space="preserve">CH LA BARRIERE Blanc 2022                                          </t>
  </si>
  <si>
    <r>
      <rPr>
        <rFont val="PMingLiu"/>
        <b/>
        <color rgb="FF000000"/>
        <sz val="11.0"/>
      </rPr>
      <t>貝禮城堡白葡萄酒/</t>
    </r>
    <r>
      <rPr>
        <rFont val="新細明體"/>
        <b/>
        <color rgb="FF0070C0"/>
        <sz val="11.0"/>
      </rPr>
      <t>6瓶紙箱</t>
    </r>
  </si>
  <si>
    <r>
      <rPr>
        <rFont val="PMingLiu"/>
        <b/>
        <color rgb="FFFF00FF"/>
        <sz val="16.0"/>
      </rPr>
      <t>＊</t>
    </r>
    <r>
      <rPr>
        <rFont val="新細明體"/>
        <b/>
        <color rgb="FFFF00FF"/>
        <sz val="16.0"/>
      </rPr>
      <t>法國 加百利美福酒莊</t>
    </r>
  </si>
  <si>
    <t>GMDF-1201</t>
  </si>
  <si>
    <t>Chateauneuf-du-Pape 2012</t>
  </si>
  <si>
    <t>加百利美福酒莊隆河教皇新堡葡萄酒</t>
  </si>
  <si>
    <t>RP89</t>
  </si>
  <si>
    <t>GMDF-1406-RO</t>
  </si>
  <si>
    <t>Tavel (ROSE) 2014</t>
  </si>
  <si>
    <t>加百利美福酒莊隆河塔維粉紅葡萄酒</t>
  </si>
  <si>
    <r>
      <rPr>
        <rFont val="PMingLiu"/>
        <b/>
        <color rgb="FFFF00FF"/>
        <sz val="16.0"/>
      </rPr>
      <t>＊</t>
    </r>
    <r>
      <rPr>
        <rFont val="新細明體"/>
        <b/>
        <color rgb="FFFF00FF"/>
        <sz val="16.0"/>
      </rPr>
      <t>法國 LNSV</t>
    </r>
  </si>
  <si>
    <t>LNSV-1207</t>
  </si>
  <si>
    <t>DOMAINE FERRI ARNAUD 2012</t>
  </si>
  <si>
    <t>費安諾莊園</t>
  </si>
  <si>
    <t>RP89/GG金</t>
  </si>
  <si>
    <t>LNSV-1301-OR</t>
  </si>
  <si>
    <t>PRIEURE SAINT JAUMES 2013</t>
  </si>
  <si>
    <t>聖若姆修道院(有機)</t>
  </si>
  <si>
    <t>RP91/GG金</t>
  </si>
  <si>
    <t>LNSV-1403-RO-OR</t>
  </si>
  <si>
    <t>DOMAINE DE GUISSET ROSE 2014</t>
  </si>
  <si>
    <t xml:space="preserve">吉賽兒莊園－粉紅葡萄酒 (有機)  </t>
  </si>
  <si>
    <t>HW</t>
  </si>
  <si>
    <r>
      <rPr>
        <rFont val="PMingLiu"/>
        <b/>
        <color rgb="FFFF00FF"/>
        <sz val="16.0"/>
      </rPr>
      <t>＊</t>
    </r>
    <r>
      <rPr>
        <rFont val="新細明體"/>
        <b/>
        <color rgb="FFFF00FF"/>
        <sz val="16.0"/>
      </rPr>
      <t>法國 仙子酒莊</t>
    </r>
  </si>
  <si>
    <t xml:space="preserve">CF-1101 </t>
  </si>
  <si>
    <t>CDRV La Petite Siberie 2011</t>
  </si>
  <si>
    <r>
      <rPr>
        <rFont val="PMingLiu"/>
        <b/>
        <color rgb="FF000000"/>
        <sz val="11.0"/>
      </rPr>
      <t>西伯利亞仙女紅葡萄酒</t>
    </r>
    <r>
      <rPr>
        <rFont val="新細明體"/>
        <b/>
        <color rgb="FFFF0000"/>
        <sz val="11.0"/>
      </rPr>
      <t>(單一木盒)</t>
    </r>
  </si>
  <si>
    <t>RP95</t>
  </si>
  <si>
    <t xml:space="preserve">CF-1201 </t>
  </si>
  <si>
    <t>CDRV La Petite Siberie 2012</t>
  </si>
  <si>
    <r>
      <rPr>
        <rFont val="PMingLiu"/>
        <b/>
        <color rgb="FF000000"/>
        <sz val="11.0"/>
      </rPr>
      <t>西伯利亞仙女紅葡萄酒</t>
    </r>
    <r>
      <rPr>
        <rFont val="新細明體"/>
        <b/>
        <color rgb="FFFF0000"/>
        <sz val="11.0"/>
      </rPr>
      <t>(單一木盒)</t>
    </r>
  </si>
  <si>
    <t>CF-1401</t>
  </si>
  <si>
    <t>CDRV La Petite Siberie 2014</t>
  </si>
  <si>
    <t>西伯利亞仙女紅葡萄酒-6入木箱</t>
  </si>
  <si>
    <t xml:space="preserve">CF-1103 </t>
  </si>
  <si>
    <t>CDRV Le Clos des Fees 2011</t>
  </si>
  <si>
    <r>
      <rPr>
        <rFont val="PMingLiu"/>
        <b/>
        <color rgb="FF000000"/>
        <sz val="11.0"/>
      </rPr>
      <t>仙女之家紅葡萄酒/</t>
    </r>
    <r>
      <rPr>
        <rFont val="新細明體"/>
        <b/>
        <color rgb="FF0070C0"/>
        <sz val="11.0"/>
      </rPr>
      <t>6瓶紙箱</t>
    </r>
  </si>
  <si>
    <t xml:space="preserve">CF-1203 </t>
  </si>
  <si>
    <t>CDRV Le Clos des Fees 2012</t>
  </si>
  <si>
    <r>
      <rPr>
        <rFont val="PMingLiu"/>
        <b/>
        <color rgb="FF000000"/>
        <sz val="11.0"/>
      </rPr>
      <t>仙女之家紅葡萄酒/</t>
    </r>
    <r>
      <rPr>
        <rFont val="新細明體"/>
        <b/>
        <color rgb="FF0070C0"/>
        <sz val="11.0"/>
      </rPr>
      <t>6瓶紙箱</t>
    </r>
  </si>
  <si>
    <t>RP97</t>
  </si>
  <si>
    <t>CF-1803</t>
  </si>
  <si>
    <t>CDRV Le Clos des Fees 2018</t>
  </si>
  <si>
    <r>
      <rPr>
        <rFont val="PMingLiu"/>
        <b/>
        <color rgb="FF000000"/>
        <sz val="11.0"/>
      </rPr>
      <t>仙女之家紅葡萄酒/</t>
    </r>
    <r>
      <rPr>
        <rFont val="新細明體"/>
        <b/>
        <color rgb="FF0070C0"/>
        <sz val="11.0"/>
      </rPr>
      <t>6瓶紙箱</t>
    </r>
  </si>
  <si>
    <t>CF-1305</t>
  </si>
  <si>
    <t>CDRV Vieilles Vignes 2013</t>
  </si>
  <si>
    <r>
      <rPr>
        <rFont val="PMingLiu"/>
        <b/>
        <color rgb="FF000000"/>
        <sz val="11.0"/>
      </rPr>
      <t>老藤守護仙子紅葡萄酒/</t>
    </r>
    <r>
      <rPr>
        <rFont val="新細明體"/>
        <b/>
        <color rgb="FF0070C0"/>
        <sz val="11.0"/>
      </rPr>
      <t>6瓶紙箱</t>
    </r>
  </si>
  <si>
    <t>CF-1805</t>
  </si>
  <si>
    <t>CDRV Vieilles Vignes 2018</t>
  </si>
  <si>
    <r>
      <rPr>
        <rFont val="PMingLiu"/>
        <b/>
        <color rgb="FF000000"/>
        <sz val="11.0"/>
      </rPr>
      <t>老藤守護仙子紅葡萄酒/</t>
    </r>
    <r>
      <rPr>
        <rFont val="新細明體"/>
        <b/>
        <color rgb="FF0070C0"/>
        <sz val="11.0"/>
      </rPr>
      <t>6瓶紙箱</t>
    </r>
  </si>
  <si>
    <t>CF-1404</t>
  </si>
  <si>
    <t>IGP Un faune avec son Fifre 2014</t>
  </si>
  <si>
    <t>牧神精靈-6入木箱</t>
  </si>
  <si>
    <t>CF-1604</t>
  </si>
  <si>
    <t>IGP Un faune avec son Fifre 2016</t>
  </si>
  <si>
    <t>CF-1406</t>
  </si>
  <si>
    <t>IGP Images Derisoires 2014 CRD</t>
  </si>
  <si>
    <r>
      <rPr>
        <rFont val="PMingLiu"/>
        <b/>
        <color rgb="FF000000"/>
        <sz val="11.0"/>
      </rPr>
      <t>漫畫精靈/</t>
    </r>
    <r>
      <rPr>
        <rFont val="新細明體"/>
        <b/>
        <color rgb="FF0070C0"/>
        <sz val="11.0"/>
      </rPr>
      <t>6瓶紙箱</t>
    </r>
  </si>
  <si>
    <t xml:space="preserve">CF-1311-RO </t>
  </si>
  <si>
    <t>CDR Les Sorcieres Ros 2013</t>
  </si>
  <si>
    <t>玫瑰女巫仙子(粉紅酒)</t>
  </si>
  <si>
    <t xml:space="preserve">CF-1409 </t>
  </si>
  <si>
    <t>CDR Les Sorcieres 2014</t>
  </si>
  <si>
    <t xml:space="preserve">女巫仙子紅葡萄酒 </t>
  </si>
  <si>
    <t>WA90</t>
  </si>
  <si>
    <t>CF-1909</t>
  </si>
  <si>
    <t>CDR Les Sorcieres 2019</t>
  </si>
  <si>
    <r>
      <rPr>
        <rFont val="PMingLiu"/>
        <b/>
        <color rgb="FF000000"/>
        <sz val="11.0"/>
      </rPr>
      <t>女巫仙子紅葡萄酒/</t>
    </r>
    <r>
      <rPr>
        <rFont val="新細明體"/>
        <b/>
        <color rgb="FF0070C0"/>
        <sz val="11.0"/>
      </rPr>
      <t>6瓶紙箱</t>
    </r>
  </si>
  <si>
    <t>CF-1404-WH</t>
  </si>
  <si>
    <t>IGP Blanc Un faune avec son Fifre 2014</t>
  </si>
  <si>
    <t>牧神精靈白葡萄酒-6入木箱</t>
  </si>
  <si>
    <t>CF-1508-WH</t>
  </si>
  <si>
    <t>IGP Vieilles Vignes Blanc 2015</t>
  </si>
  <si>
    <r>
      <rPr>
        <rFont val="PMingLiu"/>
        <b/>
        <color rgb="FF000000"/>
        <sz val="11.0"/>
      </rPr>
      <t>老藤守護仙子白葡萄酒/</t>
    </r>
    <r>
      <rPr>
        <rFont val="新細明體"/>
        <b/>
        <color rgb="FF0070C0"/>
        <sz val="11.0"/>
      </rPr>
      <t>6瓶紙箱</t>
    </r>
  </si>
  <si>
    <t>CF-1808-WH</t>
  </si>
  <si>
    <t xml:space="preserve">IGP Vieilles Vignes Blanc 2018 </t>
  </si>
  <si>
    <r>
      <rPr>
        <rFont val="PMingLiu"/>
        <b/>
        <color rgb="FF000000"/>
        <sz val="11.0"/>
      </rPr>
      <t>老藤守護仙子白葡萄酒/</t>
    </r>
    <r>
      <rPr>
        <rFont val="新細明體"/>
        <b/>
        <color rgb="FF0070C0"/>
        <sz val="11.0"/>
      </rPr>
      <t>6瓶紙箱</t>
    </r>
  </si>
  <si>
    <t>RP92</t>
  </si>
  <si>
    <t>＊法國香檳酒</t>
  </si>
  <si>
    <t>BO-001-00</t>
  </si>
  <si>
    <t>BOIZEL Joyau 2000</t>
  </si>
  <si>
    <r>
      <rPr>
        <rFont val="PMingLiu"/>
        <b/>
        <color rgb="FF000000"/>
        <sz val="11.0"/>
      </rPr>
      <t>國王皇冠頂級年份香檳/</t>
    </r>
    <r>
      <rPr>
        <rFont val="新細明體"/>
        <b/>
        <color rgb="FF0070C0"/>
        <sz val="11.0"/>
      </rPr>
      <t>6瓶紙箱</t>
    </r>
  </si>
  <si>
    <t>WE91/VIN92</t>
  </si>
  <si>
    <t>BO-002-04-RO</t>
  </si>
  <si>
    <t>BOIZEL Joyau Rose 2004</t>
  </si>
  <si>
    <r>
      <rPr>
        <rFont val="PMingLiu"/>
        <b/>
        <color rgb="FF000000"/>
        <sz val="11.0"/>
      </rPr>
      <t>女王粉鑽頂級年份香檳/</t>
    </r>
    <r>
      <rPr>
        <rFont val="新細明體"/>
        <b/>
        <color rgb="FF0070C0"/>
        <sz val="11.0"/>
      </rPr>
      <t>6瓶紙箱</t>
    </r>
  </si>
  <si>
    <t>WS92</t>
  </si>
  <si>
    <t>BO-003-07</t>
  </si>
  <si>
    <t>BOIZEL Grand Vintage 2007</t>
  </si>
  <si>
    <r>
      <rPr>
        <rFont val="PMingLiu"/>
        <b/>
        <color rgb="FF000000"/>
        <sz val="11.0"/>
      </rPr>
      <t>頂級年份香檳/</t>
    </r>
    <r>
      <rPr>
        <rFont val="新細明體"/>
        <b/>
        <color rgb="FF0070C0"/>
        <sz val="11.0"/>
      </rPr>
      <t>6瓶紙箱</t>
    </r>
  </si>
  <si>
    <t>WE94</t>
  </si>
  <si>
    <t>BO-004-BN</t>
  </si>
  <si>
    <t>BOIZEL Blanc de Noirs</t>
  </si>
  <si>
    <r>
      <rPr>
        <rFont val="PMingLiu"/>
        <b/>
        <color rgb="FF000000"/>
        <sz val="11.0"/>
      </rPr>
      <t>特級陳釀黑中白香檳/</t>
    </r>
    <r>
      <rPr>
        <rFont val="新細明體"/>
        <b/>
        <color rgb="FF0070C0"/>
        <sz val="11.0"/>
      </rPr>
      <t>6瓶紙箱</t>
    </r>
  </si>
  <si>
    <t>WE92</t>
  </si>
  <si>
    <t>BO-005-BC</t>
  </si>
  <si>
    <t>BOIZEL Blanc de Blancs</t>
  </si>
  <si>
    <r>
      <rPr>
        <rFont val="PMingLiu"/>
        <b/>
        <color rgb="FF000000"/>
        <sz val="11.0"/>
      </rPr>
      <t>特級陳釀白中白香檳/</t>
    </r>
    <r>
      <rPr>
        <rFont val="新細明體"/>
        <b/>
        <color rgb="FF0070C0"/>
        <sz val="11.0"/>
      </rPr>
      <t>6瓶紙箱</t>
    </r>
  </si>
  <si>
    <t>WS91</t>
  </si>
  <si>
    <t>BO-006-RE</t>
  </si>
  <si>
    <t>BOIZEL Tendre Reserve</t>
  </si>
  <si>
    <r>
      <rPr>
        <rFont val="PMingLiu"/>
        <b/>
        <color rgb="FF000000"/>
        <sz val="11.0"/>
      </rPr>
      <t>特級陳釀微甜香檳/</t>
    </r>
    <r>
      <rPr>
        <rFont val="新細明體"/>
        <b/>
        <color rgb="FF0070C0"/>
        <sz val="11.0"/>
      </rPr>
      <t>6瓶紙箱</t>
    </r>
  </si>
  <si>
    <t>WE89</t>
  </si>
  <si>
    <t>BO-007-RO-1</t>
  </si>
  <si>
    <t>BOIZEL Rose   375 ML</t>
  </si>
  <si>
    <t>特級陳釀粉紅香檳</t>
  </si>
  <si>
    <t>BO-008-RE-1</t>
  </si>
  <si>
    <t>BOIZEL BRUT Reserve  ML</t>
  </si>
  <si>
    <t>特級陳釀香檳</t>
  </si>
  <si>
    <t>7020TNS-1</t>
  </si>
  <si>
    <t>Champagne Taittinger Noctume Sec(Disco) NV</t>
  </si>
  <si>
    <t>泰廷爵夜曲香檳</t>
  </si>
  <si>
    <t>FC2013</t>
  </si>
  <si>
    <t>Moet Chandon Golden NV</t>
  </si>
  <si>
    <t>酩悅金瓶香檳</t>
  </si>
  <si>
    <t>FC6026-S</t>
  </si>
  <si>
    <t>Chandon Brut Summer NV</t>
  </si>
  <si>
    <t>香桐夏日香檳</t>
  </si>
  <si>
    <t>FCPGSGGR0075</t>
  </si>
  <si>
    <t>Gosset Grand Rose NV</t>
  </si>
  <si>
    <t>高仕達粉紅香檳</t>
  </si>
  <si>
    <t>＊法國布根地帝拉奎酒莊</t>
  </si>
  <si>
    <t>CDLC-1311-VW</t>
  </si>
  <si>
    <t>Puligny-Montrachet village 2013</t>
  </si>
  <si>
    <r>
      <rPr>
        <rFont val="PMingLiu"/>
        <b/>
        <color rgb="FF000000"/>
        <sz val="11.0"/>
      </rPr>
      <t>普里尼-蒙哈榭白葡萄酒/</t>
    </r>
    <r>
      <rPr>
        <rFont val="新細明體"/>
        <b/>
        <color rgb="FF0070C0"/>
        <sz val="11.0"/>
      </rPr>
      <t>6瓶紙箱</t>
    </r>
  </si>
  <si>
    <t>ACP-521J121A</t>
  </si>
  <si>
    <t>Domaine Champy Bourgogne Chardonnay 2012</t>
  </si>
  <si>
    <r>
      <rPr>
        <rFont val="PMingLiu"/>
        <b/>
        <color rgb="FF000000"/>
        <sz val="11.0"/>
      </rPr>
      <t>香品酒莊布根地夏多內白酒/</t>
    </r>
    <r>
      <rPr>
        <rFont val="新細明體"/>
        <b/>
        <color rgb="FF0070C0"/>
        <sz val="11.0"/>
      </rPr>
      <t>6瓶紙箱</t>
    </r>
  </si>
  <si>
    <t>CDLC-1403-1CW</t>
  </si>
  <si>
    <t>Montagny Premier Cru (1er Cru) 2014</t>
  </si>
  <si>
    <r>
      <rPr>
        <rFont val="PMingLiu"/>
        <b/>
        <color rgb="FF000000"/>
        <sz val="11.0"/>
      </rPr>
      <t>蒙塔尼一級園白葡萄酒/</t>
    </r>
    <r>
      <rPr>
        <rFont val="新細明體"/>
        <b/>
        <color rgb="FF0070C0"/>
        <sz val="11.0"/>
      </rPr>
      <t>6瓶紙箱</t>
    </r>
  </si>
  <si>
    <t>CellarTracker
91</t>
  </si>
  <si>
    <t>CDLC-1921-VW</t>
  </si>
  <si>
    <r>
      <rPr>
        <rFont val="PMingLiu"/>
        <b/>
        <color rgb="FF000000"/>
        <sz val="11.0"/>
      </rPr>
      <t xml:space="preserve">Maranges Sur le Bois Blanc 2019                            </t>
    </r>
  </si>
  <si>
    <r>
      <rPr>
        <rFont val="PMingLiu"/>
        <b/>
        <color rgb="FF000000"/>
        <sz val="11.0"/>
      </rPr>
      <t>馬朗日SLB白葡萄酒/</t>
    </r>
    <r>
      <rPr>
        <rFont val="新細明體"/>
        <b/>
        <color rgb="FF0070C0"/>
        <sz val="11.0"/>
      </rPr>
      <t>6瓶紙箱</t>
    </r>
  </si>
  <si>
    <t>JS93/DE91</t>
  </si>
  <si>
    <t>CDLC-2006-1CW</t>
  </si>
  <si>
    <r>
      <rPr>
        <rFont val="PMingLiu"/>
        <b/>
        <color rgb="FF000000"/>
        <sz val="11.0"/>
      </rPr>
      <t xml:space="preserve">Santenay Premier Cru Gravières Blanc 2020                 </t>
    </r>
  </si>
  <si>
    <r>
      <rPr>
        <rFont val="PMingLiu"/>
        <b/>
        <color rgb="FF000000"/>
        <sz val="11.0"/>
      </rPr>
      <t>松特內一級園GR白葡萄酒/</t>
    </r>
    <r>
      <rPr>
        <rFont val="新細明體"/>
        <b/>
        <color rgb="FF0070C0"/>
        <sz val="11.0"/>
      </rPr>
      <t>6瓶紙箱</t>
    </r>
  </si>
  <si>
    <t>DE95</t>
  </si>
  <si>
    <t>CDLC-2013-VW</t>
  </si>
  <si>
    <t xml:space="preserve">Puligny-Montrachet La Rue aux Vaches 2020           </t>
  </si>
  <si>
    <r>
      <rPr>
        <rFont val="PMingLiu"/>
        <b/>
        <color rgb="FF000000"/>
        <sz val="11.0"/>
      </rPr>
      <t>普里尼-蒙哈榭LRAV白葡萄酒/</t>
    </r>
    <r>
      <rPr>
        <rFont val="新細明體"/>
        <b/>
        <color rgb="FF0070C0"/>
        <sz val="11.0"/>
      </rPr>
      <t>6瓶紙箱</t>
    </r>
  </si>
  <si>
    <t>DE92</t>
  </si>
  <si>
    <t>CDLC-2104-VW</t>
  </si>
  <si>
    <r>
      <rPr>
        <rFont val="PMingLiu"/>
        <b/>
        <color rgb="FF000000"/>
        <sz val="11.0"/>
      </rPr>
      <t xml:space="preserve">Santenay "Les Terrasses de la Crée" 2021                 </t>
    </r>
  </si>
  <si>
    <r>
      <rPr>
        <rFont val="PMingLiu"/>
        <b/>
        <color rgb="FF000000"/>
        <sz val="11.0"/>
      </rPr>
      <t>松特內LTDLC白葡萄酒/</t>
    </r>
    <r>
      <rPr>
        <rFont val="新細明體"/>
        <b/>
        <color rgb="FF0070C0"/>
        <sz val="11.0"/>
      </rPr>
      <t>6瓶紙箱</t>
    </r>
  </si>
  <si>
    <t>JS93</t>
  </si>
  <si>
    <t>CDLC-2105-1CW</t>
  </si>
  <si>
    <t xml:space="preserve">Santenay Premier Cru Beaurepaire 2021                        </t>
  </si>
  <si>
    <r>
      <rPr>
        <rFont val="PMingLiu"/>
        <b/>
        <color rgb="FF000000"/>
        <sz val="11.0"/>
      </rPr>
      <t>松特內一級園BE白葡萄酒/</t>
    </r>
    <r>
      <rPr>
        <rFont val="新細明體"/>
        <b/>
        <color rgb="FF0070C0"/>
        <sz val="11.0"/>
      </rPr>
      <t>6瓶紙箱</t>
    </r>
  </si>
  <si>
    <t>DE91</t>
  </si>
  <si>
    <t>CDLC-1312-V</t>
  </si>
  <si>
    <t>Santenay "En Foulot" Rouge 2013</t>
  </si>
  <si>
    <r>
      <rPr>
        <rFont val="PMingLiu"/>
        <b/>
        <color rgb="FF000000"/>
        <sz val="11.0"/>
      </rPr>
      <t>松特內紅葡萄酒/</t>
    </r>
    <r>
      <rPr>
        <rFont val="新細明體"/>
        <b/>
        <color rgb="FF0070C0"/>
        <sz val="11.0"/>
      </rPr>
      <t>6瓶紙箱</t>
    </r>
  </si>
  <si>
    <t>CDLC-1507-V</t>
  </si>
  <si>
    <t xml:space="preserve">Santenay Clos du Château - Monopole - 2015                   </t>
  </si>
  <si>
    <r>
      <rPr>
        <rFont val="PMingLiu"/>
        <b/>
        <color rgb="FF000000"/>
        <sz val="11.0"/>
      </rPr>
      <t>松特內獨占園CDC紅葡萄酒/</t>
    </r>
    <r>
      <rPr>
        <rFont val="新細明體"/>
        <b/>
        <color rgb="FF0070C0"/>
        <sz val="11.0"/>
      </rPr>
      <t>6瓶紙箱</t>
    </r>
  </si>
  <si>
    <t>CDLC-1508-1C</t>
  </si>
  <si>
    <t xml:space="preserve">Santenay Premier Cru Gravières Rouge 2015                  </t>
  </si>
  <si>
    <r>
      <rPr>
        <rFont val="PMingLiu"/>
        <b/>
        <color rgb="FF000000"/>
        <sz val="11.0"/>
      </rPr>
      <t>松特內一級園GR紅葡萄酒/</t>
    </r>
    <r>
      <rPr>
        <rFont val="新細明體"/>
        <b/>
        <color rgb="FF0070C0"/>
        <sz val="11.0"/>
      </rPr>
      <t>6瓶紙箱</t>
    </r>
  </si>
  <si>
    <t>CDLC-1522-V</t>
  </si>
  <si>
    <t xml:space="preserve">Maranges En Goty Rouge 2015                                    </t>
  </si>
  <si>
    <r>
      <rPr>
        <rFont val="PMingLiu"/>
        <b/>
        <color rgb="FF000000"/>
        <sz val="11.0"/>
      </rPr>
      <t>馬朗日EG紅葡萄酒/</t>
    </r>
    <r>
      <rPr>
        <rFont val="新細明體"/>
        <b/>
        <color rgb="FF0070C0"/>
        <sz val="11.0"/>
      </rPr>
      <t>6瓶紙箱</t>
    </r>
  </si>
  <si>
    <t>CDLC-1909-V</t>
  </si>
  <si>
    <r>
      <rPr>
        <rFont val="PMingLiu"/>
        <b/>
        <color rgb="FF000000"/>
        <sz val="11.0"/>
      </rPr>
      <t xml:space="preserve">Santenay "La Confrérie" 2019                                          </t>
    </r>
  </si>
  <si>
    <r>
      <rPr>
        <rFont val="PMingLiu"/>
        <b/>
        <color rgb="FF000000"/>
        <sz val="11.0"/>
      </rPr>
      <t>松特內LC紅葡萄酒/</t>
    </r>
    <r>
      <rPr>
        <rFont val="新細明體"/>
        <b/>
        <color rgb="FF0070C0"/>
        <sz val="11.0"/>
      </rPr>
      <t>6瓶紙箱</t>
    </r>
  </si>
  <si>
    <t>JS92/DE86</t>
  </si>
  <si>
    <t>CDLC-2010-1C</t>
  </si>
  <si>
    <t xml:space="preserve">Santenay Premier Cru Clos Faubard Rouge 2020              </t>
  </si>
  <si>
    <r>
      <rPr>
        <rFont val="PMingLiu"/>
        <b/>
        <color rgb="FF000000"/>
        <sz val="11.0"/>
      </rPr>
      <t>松特內一級園CF紅葡萄酒/</t>
    </r>
    <r>
      <rPr>
        <rFont val="新細明體"/>
        <b/>
        <color rgb="FF0070C0"/>
        <sz val="11.0"/>
      </rPr>
      <t>6瓶紙箱</t>
    </r>
  </si>
  <si>
    <t>CDLC-2032-1C</t>
  </si>
  <si>
    <t xml:space="preserve">Volnay Premier Cru Clos des Angles 2020               </t>
  </si>
  <si>
    <r>
      <rPr>
        <rFont val="PMingLiu"/>
        <b/>
        <color rgb="FF000000"/>
        <sz val="11.0"/>
      </rPr>
      <t>沃爾奈一級園CDA紅葡萄酒/</t>
    </r>
    <r>
      <rPr>
        <rFont val="新細明體"/>
        <b/>
        <color rgb="FF0070C0"/>
        <sz val="11.0"/>
      </rPr>
      <t>6瓶紙箱</t>
    </r>
  </si>
  <si>
    <t>JWR94/DE88</t>
  </si>
  <si>
    <t>CDLC-2131-V</t>
  </si>
  <si>
    <r>
      <rPr>
        <rFont val="PMingLiu"/>
        <b/>
        <color rgb="FF000000"/>
        <sz val="11.0"/>
      </rPr>
      <t xml:space="preserve">Volnay Les Echards 2020                                         </t>
    </r>
  </si>
  <si>
    <r>
      <rPr>
        <rFont val="PMingLiu"/>
        <b/>
        <color rgb="FF000000"/>
        <sz val="11.0"/>
      </rPr>
      <t>沃爾奈LE紅葡萄酒/</t>
    </r>
    <r>
      <rPr>
        <rFont val="新細明體"/>
        <b/>
        <color rgb="FF0070C0"/>
        <sz val="11.0"/>
      </rPr>
      <t>6瓶紙箱</t>
    </r>
  </si>
  <si>
    <t>*薄酒萊</t>
  </si>
  <si>
    <t>FRL-BV11</t>
  </si>
  <si>
    <t>LEROY Beaujolais Villages Nouveau Primeur 2011</t>
  </si>
  <si>
    <t>樂花園酒莊薄酒萊村莊級新酒</t>
  </si>
  <si>
    <t>＊法國烈酒(白蘭地)</t>
  </si>
  <si>
    <t>GIMARM-GIM76</t>
  </si>
  <si>
    <t xml:space="preserve">Armagnac Gimet 1976  </t>
  </si>
  <si>
    <r>
      <rPr>
        <rFont val="PMingLiu"/>
        <b/>
        <color rgb="FF000000"/>
        <sz val="11.0"/>
      </rPr>
      <t>極魅雅文邑1976年原桶/</t>
    </r>
    <r>
      <rPr>
        <rFont val="新細明體"/>
        <b/>
        <color rgb="FFFF0000"/>
        <sz val="11.0"/>
      </rPr>
      <t>3瓶紙箱</t>
    </r>
  </si>
  <si>
    <t>1瓶9折          3瓶85折                  6瓶8折              12瓶以上75折</t>
  </si>
  <si>
    <t>GIMARM-GIM82</t>
  </si>
  <si>
    <t>Armagnac Gimet 1982</t>
  </si>
  <si>
    <r>
      <rPr>
        <rFont val="PMingLiu"/>
        <b/>
        <color rgb="FF000000"/>
        <sz val="11.0"/>
      </rPr>
      <t>極魅雅文邑1982年原桶/</t>
    </r>
    <r>
      <rPr>
        <rFont val="新細明體"/>
        <b/>
        <color rgb="FF0070C0"/>
        <sz val="11.0"/>
      </rPr>
      <t>6瓶紙箱</t>
    </r>
  </si>
  <si>
    <t>GIMARM-GIM83</t>
  </si>
  <si>
    <t>ARMAGNAC GIMET 1983            容量:700ML</t>
  </si>
  <si>
    <r>
      <rPr>
        <rFont val="PMingLiu"/>
        <b/>
        <color rgb="FF000000"/>
        <sz val="11.0"/>
      </rPr>
      <t>極魅雅文邑1983年原桶/</t>
    </r>
    <r>
      <rPr>
        <rFont val="新細明體"/>
        <b/>
        <color rgb="FF0070C0"/>
        <sz val="11.0"/>
      </rPr>
      <t>6瓶紙箱</t>
    </r>
  </si>
  <si>
    <t>GIMARM-GIM84</t>
  </si>
  <si>
    <t>ARMAGNAC GIMET 1984            容量:700ML</t>
  </si>
  <si>
    <r>
      <rPr>
        <rFont val="PMingLiu"/>
        <b/>
        <color rgb="FF000000"/>
        <sz val="11.0"/>
      </rPr>
      <t>極魅雅文邑1984年原桶/</t>
    </r>
    <r>
      <rPr>
        <rFont val="新細明體"/>
        <b/>
        <color rgb="FF0070C0"/>
        <sz val="11.0"/>
      </rPr>
      <t>6瓶紙箱</t>
    </r>
  </si>
  <si>
    <t>GIMARM-GIM85</t>
  </si>
  <si>
    <t>ARMAGNAC GIMET 1985            容量:700ML</t>
  </si>
  <si>
    <r>
      <rPr>
        <rFont val="PMingLiu"/>
        <b/>
        <color rgb="FF000000"/>
        <sz val="11.0"/>
      </rPr>
      <t>極魅雅文邑1985年原桶/</t>
    </r>
    <r>
      <rPr>
        <rFont val="新細明體"/>
        <b/>
        <color rgb="FF0070C0"/>
        <sz val="11.0"/>
      </rPr>
      <t>6瓶紙箱</t>
    </r>
  </si>
  <si>
    <t>GIMARM-GIM86</t>
  </si>
  <si>
    <t>ARMAGNAC GIMET 1986            容量:700ML</t>
  </si>
  <si>
    <r>
      <rPr>
        <rFont val="PMingLiu"/>
        <b/>
        <color rgb="FF000000"/>
        <sz val="11.0"/>
      </rPr>
      <t>極魅雅文邑1986年原桶/</t>
    </r>
    <r>
      <rPr>
        <rFont val="新細明體"/>
        <b/>
        <color rgb="FF0070C0"/>
        <sz val="11.0"/>
      </rPr>
      <t>6瓶紙箱</t>
    </r>
  </si>
  <si>
    <t>GIMARM-GIM87</t>
  </si>
  <si>
    <t>ARMAGNAC GIMET 1987            容量:700ML</t>
  </si>
  <si>
    <r>
      <rPr>
        <rFont val="PMingLiu"/>
        <b/>
        <color rgb="FF000000"/>
        <sz val="11.0"/>
      </rPr>
      <t>極魅雅文邑1987年原桶/</t>
    </r>
    <r>
      <rPr>
        <rFont val="新細明體"/>
        <b/>
        <color rgb="FF0070C0"/>
        <sz val="11.0"/>
      </rPr>
      <t>6瓶紙箱</t>
    </r>
  </si>
  <si>
    <t>GIMARM-GIM88</t>
  </si>
  <si>
    <t>ARMAGNAC GIMET 1988            容量:700ML</t>
  </si>
  <si>
    <r>
      <rPr>
        <rFont val="PMingLiu"/>
        <b/>
        <color rgb="FF000000"/>
        <sz val="11.0"/>
      </rPr>
      <t>極魅雅文邑1988年原桶/</t>
    </r>
    <r>
      <rPr>
        <rFont val="新細明體"/>
        <b/>
        <color rgb="FF0070C0"/>
        <sz val="11.0"/>
      </rPr>
      <t>6瓶紙箱</t>
    </r>
  </si>
  <si>
    <t>GIMARM-LAR86</t>
  </si>
  <si>
    <t>Armagnac Larressingle 1986</t>
  </si>
  <si>
    <r>
      <rPr>
        <rFont val="PMingLiu"/>
        <b/>
        <color rgb="FF000000"/>
        <sz val="11.0"/>
      </rPr>
      <t>雷星閣雅文邑1986年/</t>
    </r>
    <r>
      <rPr>
        <rFont val="新細明體"/>
        <b/>
        <color rgb="FFFF0000"/>
        <sz val="11.0"/>
      </rPr>
      <t>3瓶紙箱</t>
    </r>
  </si>
  <si>
    <t>GIMCOG-ADEX</t>
  </si>
  <si>
    <t xml:space="preserve">Cognac Gourmel Age du Fruit </t>
  </si>
  <si>
    <r>
      <rPr>
        <rFont val="PMingLiu"/>
        <b/>
        <color rgb="FF000000"/>
        <sz val="11.0"/>
      </rPr>
      <t>禮傲干邑侍酒師15克拉EXTRA/</t>
    </r>
    <r>
      <rPr>
        <rFont val="新細明體"/>
        <b/>
        <color rgb="FF0070C0"/>
        <sz val="11.0"/>
      </rPr>
      <t>6瓶紙箱</t>
    </r>
  </si>
  <si>
    <t>GIMCOG-ADEX-CS</t>
  </si>
  <si>
    <t>Cognac Brut de Fleurs               容量:700ML</t>
  </si>
  <si>
    <r>
      <rPr>
        <rFont val="PMingLiu"/>
        <b/>
        <color rgb="FF000000"/>
        <sz val="11.0"/>
      </rPr>
      <t>禮傲干邑侍酒師Extra原桶原酒</t>
    </r>
    <r>
      <rPr>
        <rFont val="新細明體"/>
        <b/>
        <color rgb="FFFF0000"/>
        <sz val="11.0"/>
      </rPr>
      <t>(單一木盒)</t>
    </r>
  </si>
  <si>
    <t>GIMCOG-ADTV</t>
  </si>
  <si>
    <t>Cognac Brut d'Epices                容量:700ML</t>
  </si>
  <si>
    <r>
      <rPr>
        <rFont val="PMingLiu"/>
        <b/>
        <color rgb="FF000000"/>
        <sz val="11.0"/>
      </rPr>
      <t>禮傲干邑侍酒師Tres Vieux原桶原酒</t>
    </r>
    <r>
      <rPr>
        <rFont val="新細明體"/>
        <b/>
        <color rgb="FFFF0000"/>
        <sz val="11.0"/>
      </rPr>
      <t>(單一木盒)</t>
    </r>
  </si>
  <si>
    <t>GIMCOG-ADXO-CS</t>
  </si>
  <si>
    <t>Cognac Brut de Fruits               容量:700ML</t>
  </si>
  <si>
    <r>
      <rPr>
        <rFont val="PMingLiu"/>
        <b/>
        <color rgb="FF000000"/>
        <sz val="11.0"/>
      </rPr>
      <t>禮傲干邑侍酒師XO原桶原酒</t>
    </r>
    <r>
      <rPr>
        <rFont val="新細明體"/>
        <b/>
        <color rgb="FFFF0000"/>
        <sz val="11.0"/>
      </rPr>
      <t>(單一木盒)</t>
    </r>
  </si>
  <si>
    <t>GIMCOG-L</t>
  </si>
  <si>
    <t>Cognac Carafe L de Gourmel</t>
  </si>
  <si>
    <r>
      <rPr>
        <rFont val="PMingLiu"/>
        <b/>
        <color rgb="FF000000"/>
        <sz val="11.0"/>
      </rPr>
      <t>禮傲大香檳區特級園頂級干邑/</t>
    </r>
    <r>
      <rPr>
        <rFont val="新細明體"/>
        <b/>
        <color rgb="FF0070C0"/>
        <sz val="11.0"/>
      </rPr>
      <t>6瓶紙箱</t>
    </r>
  </si>
  <si>
    <t>GIM-GIN02</t>
  </si>
  <si>
    <r>
      <rPr>
        <rFont val="PMingLiu"/>
        <b/>
        <color rgb="FF000000"/>
        <sz val="11.0"/>
      </rPr>
      <t xml:space="preserve">BLURRYMOON     </t>
    </r>
    <r>
      <rPr>
        <rFont val="新細明體"/>
        <b/>
        <color rgb="FFFF0000"/>
        <sz val="11.0"/>
      </rPr>
      <t xml:space="preserve">                 </t>
    </r>
    <r>
      <rPr>
        <rFont val="新細明體"/>
        <b/>
        <color rgb="FF000000"/>
        <sz val="11.0"/>
      </rPr>
      <t>容量:700ML</t>
    </r>
  </si>
  <si>
    <r>
      <rPr>
        <rFont val="PMingLiu"/>
        <b/>
        <color rgb="FF000000"/>
        <sz val="11.0"/>
      </rPr>
      <t>朦月琴酒/</t>
    </r>
    <r>
      <rPr>
        <rFont val="新細明體"/>
        <b/>
        <color rgb="FF0070C0"/>
        <sz val="11.0"/>
      </rPr>
      <t>6瓶紙箱</t>
    </r>
  </si>
  <si>
    <t>GIM-GIN03</t>
  </si>
  <si>
    <t>BLURRYMOON GIN                容量:700ML</t>
  </si>
  <si>
    <r>
      <rPr>
        <rFont val="PMingLiu"/>
        <b/>
        <color rgb="FF000000"/>
        <sz val="11.0"/>
      </rPr>
      <t>朦月琴酒-濃/</t>
    </r>
    <r>
      <rPr>
        <rFont val="新細明體"/>
        <b/>
        <color rgb="FF0070C0"/>
        <sz val="11.0"/>
      </rPr>
      <t>6瓶紙箱</t>
    </r>
  </si>
  <si>
    <t>GIM-VKA01</t>
  </si>
  <si>
    <t xml:space="preserve">Lactalium Vodka   </t>
  </si>
  <si>
    <r>
      <rPr>
        <rFont val="PMingLiu"/>
        <b/>
        <color rgb="FF000000"/>
        <sz val="11.0"/>
      </rPr>
      <t>雷克多伏特加/</t>
    </r>
    <r>
      <rPr>
        <rFont val="新細明體"/>
        <b/>
        <color rgb="FF0070C0"/>
        <sz val="11.0"/>
      </rPr>
      <t>6瓶紙箱</t>
    </r>
  </si>
  <si>
    <t>GIMCOG-ADVSOP</t>
  </si>
  <si>
    <t xml:space="preserve">Cognac Gourmel Premieres Saveurs   </t>
  </si>
  <si>
    <r>
      <rPr>
        <rFont val="PMingLiu"/>
        <b/>
        <color rgb="FF000000"/>
        <sz val="11.0"/>
      </rPr>
      <t>禮傲干邑侍酒師6克拉VSOP/</t>
    </r>
    <r>
      <rPr>
        <rFont val="新細明體"/>
        <b/>
        <color rgb="FF0070C0"/>
        <sz val="11.0"/>
      </rPr>
      <t>6瓶紙箱</t>
    </r>
  </si>
  <si>
    <t>GIMCOG-ADXO</t>
  </si>
  <si>
    <r>
      <rPr>
        <rFont val="PMingLiu"/>
        <b/>
        <color rgb="FF000000"/>
        <sz val="11.0"/>
      </rPr>
      <t>禮傲干邑侍酒師10克拉XO/</t>
    </r>
    <r>
      <rPr>
        <rFont val="新細明體"/>
        <b/>
        <color rgb="FF0070C0"/>
        <sz val="11.0"/>
      </rPr>
      <t>6瓶紙箱</t>
    </r>
  </si>
  <si>
    <t>GIMCOG-CAVSOP</t>
  </si>
  <si>
    <t xml:space="preserve">Cognac Gourmel Carafe VSOP  </t>
  </si>
  <si>
    <r>
      <rPr>
        <rFont val="PMingLiu"/>
        <b/>
        <color rgb="FF000000"/>
        <sz val="11.0"/>
      </rPr>
      <t>禮傲干邑典藏經典VSOP/</t>
    </r>
    <r>
      <rPr>
        <rFont val="新細明體"/>
        <b/>
        <color rgb="FF0070C0"/>
        <sz val="11.0"/>
      </rPr>
      <t>6瓶紙箱</t>
    </r>
  </si>
  <si>
    <t>GIMCOG-CAVXO</t>
  </si>
  <si>
    <t xml:space="preserve">Cognac gourmel carafe XO       </t>
  </si>
  <si>
    <r>
      <rPr>
        <rFont val="PMingLiu"/>
        <b/>
        <color rgb="FF000000"/>
        <sz val="11.0"/>
      </rPr>
      <t>禮傲干邑典藏經典XO/</t>
    </r>
    <r>
      <rPr>
        <rFont val="新細明體"/>
        <b/>
        <color rgb="FF0070C0"/>
        <sz val="11.0"/>
      </rPr>
      <t>6瓶紙箱</t>
    </r>
  </si>
  <si>
    <t>＊法國烈酒(威士忌)</t>
  </si>
  <si>
    <t>WM-001</t>
  </si>
  <si>
    <t xml:space="preserve">Whisky Evade Single Malt with Giftbox </t>
  </si>
  <si>
    <r>
      <rPr>
        <rFont val="PMingLiu"/>
        <b/>
        <color rgb="FF000000"/>
        <sz val="11.0"/>
      </rPr>
      <t>單一純麥白金六桶威士忌/</t>
    </r>
    <r>
      <rPr>
        <rFont val="新細明體"/>
        <b/>
        <color rgb="FF0070C0"/>
        <sz val="11.0"/>
      </rPr>
      <t>6瓶紙箱</t>
    </r>
  </si>
  <si>
    <t>WM-002</t>
  </si>
  <si>
    <t>Whisky Evade Single Malt Peated with Giftbox</t>
  </si>
  <si>
    <r>
      <rPr>
        <rFont val="PMingLiu"/>
        <b/>
        <color rgb="FF000000"/>
        <sz val="11.0"/>
      </rPr>
      <t>單一純麥泥煤雙桶威士忌/</t>
    </r>
    <r>
      <rPr>
        <rFont val="新細明體"/>
        <b/>
        <color rgb="FF0070C0"/>
        <sz val="11.0"/>
      </rPr>
      <t>6瓶紙箱</t>
    </r>
  </si>
  <si>
    <t>WM-003</t>
  </si>
  <si>
    <t>Whisky Evade Single Malt Red Wine Finish-Giftbox</t>
  </si>
  <si>
    <r>
      <rPr>
        <rFont val="PMingLiu"/>
        <b/>
        <color rgb="FF000000"/>
        <sz val="11.0"/>
      </rPr>
      <t>單一純麥波爾多特級紅酒桶威士忌/</t>
    </r>
    <r>
      <rPr>
        <rFont val="新細明體"/>
        <b/>
        <color rgb="FF0070C0"/>
        <sz val="11.0"/>
      </rPr>
      <t>6瓶紙箱</t>
    </r>
  </si>
  <si>
    <t>WM-004</t>
  </si>
  <si>
    <t>Whisky Evadé Rum Cask Finish with giftbox</t>
  </si>
  <si>
    <r>
      <rPr>
        <rFont val="PMingLiu"/>
        <b/>
        <color rgb="FF000000"/>
        <sz val="11.0"/>
      </rPr>
      <t>單一純麥蘭姆酒桶威士忌/</t>
    </r>
    <r>
      <rPr>
        <rFont val="新細明體"/>
        <b/>
        <color rgb="FF0070C0"/>
        <sz val="11.0"/>
      </rPr>
      <t>6瓶紙箱</t>
    </r>
  </si>
  <si>
    <t>WM-005</t>
  </si>
  <si>
    <t xml:space="preserve">Whisky Evadé Maple Cask Finish with giftbox   </t>
  </si>
  <si>
    <r>
      <rPr>
        <rFont val="PMingLiu"/>
        <b/>
        <color rgb="FF000000"/>
        <sz val="11.0"/>
      </rPr>
      <t>單一純麥楓糖桶威士忌/</t>
    </r>
    <r>
      <rPr>
        <rFont val="新細明體"/>
        <b/>
        <color rgb="FF0070C0"/>
        <sz val="11.0"/>
      </rPr>
      <t>6瓶紙箱</t>
    </r>
  </si>
  <si>
    <t>WM-123</t>
  </si>
  <si>
    <t>WM-001+WM-002+WN-003</t>
  </si>
  <si>
    <t>3瓶一組合購</t>
  </si>
  <si>
    <t>＊智利酒  INDOMITA</t>
  </si>
  <si>
    <t>IN-1505-ZA-CS</t>
  </si>
  <si>
    <t>Indomita Zardoz C.S 2015</t>
  </si>
  <si>
    <t>智利國寶限量尊藏紅酒-6入木箱</t>
  </si>
  <si>
    <t>IN-1905-ZA-CS</t>
  </si>
  <si>
    <t>Indomita Zardoz C.S 2019</t>
  </si>
  <si>
    <t>IN-2005-ZA-CS</t>
  </si>
  <si>
    <t>Indomita Zardoz C.S 2020</t>
  </si>
  <si>
    <t>IN-2205-ZA-CS</t>
  </si>
  <si>
    <t>Indomita Zardoz C.S 2022</t>
  </si>
  <si>
    <t>IN-2305-ZA-CS</t>
  </si>
  <si>
    <t>Indomita Zardoz C.S 2023</t>
  </si>
  <si>
    <t>智利國寶限量尊藏紅酒-7入木箱</t>
  </si>
  <si>
    <t>IN-2301-CS-CAP</t>
  </si>
  <si>
    <t>Polero / Cabernet Sauvignon (screwed cap) 2023</t>
  </si>
  <si>
    <r>
      <rPr>
        <rFont val="PMingLiu"/>
        <b/>
        <color rgb="FF000000"/>
        <sz val="11.0"/>
      </rPr>
      <t>智利國寶 特級蘇維翁紅酒</t>
    </r>
    <r>
      <rPr>
        <rFont val="新細明體"/>
        <b/>
        <color rgb="FFFF0000"/>
        <sz val="11.0"/>
      </rPr>
      <t>(螺旋瓶)</t>
    </r>
  </si>
  <si>
    <t>IN-2401-CS-CAP</t>
  </si>
  <si>
    <t>Polero / Cabernet Sauvignon (screwed cap) 2024</t>
  </si>
  <si>
    <r>
      <rPr>
        <rFont val="PMingLiu"/>
        <b/>
        <color rgb="FF000000"/>
        <sz val="11.0"/>
      </rPr>
      <t>智利國寶 特級蘇維翁紅酒</t>
    </r>
    <r>
      <rPr>
        <rFont val="新細明體"/>
        <b/>
        <color rgb="FFFF0000"/>
        <sz val="11.0"/>
      </rPr>
      <t>(螺旋瓶)</t>
    </r>
  </si>
  <si>
    <t>IN-2331-CS-CAP</t>
  </si>
  <si>
    <t xml:space="preserve">UNIVERSO / Cabernet Sauvignon2023 </t>
  </si>
  <si>
    <r>
      <rPr>
        <rFont val="PMingLiu"/>
        <b/>
        <color rgb="FF000000"/>
        <sz val="11.0"/>
      </rPr>
      <t>太陽星 蘇維翁紅葡萄酒</t>
    </r>
    <r>
      <rPr>
        <rFont val="新細明體"/>
        <b/>
        <color rgb="FFFF0000"/>
        <sz val="11.0"/>
      </rPr>
      <t>(螺旋瓶)</t>
    </r>
  </si>
  <si>
    <t>11+1         55+5+4</t>
  </si>
  <si>
    <t>IN-2531-CS</t>
  </si>
  <si>
    <t>UNIVERSO / Cabernet Sauvignon2025</t>
  </si>
  <si>
    <t>太陽星 蘇維翁紅葡萄酒</t>
  </si>
  <si>
    <t>11+1
55+5+4</t>
  </si>
  <si>
    <t>IN-1726-GR-CH</t>
  </si>
  <si>
    <t xml:space="preserve">Indomita Gran Reserva Chardonnay 2017 </t>
  </si>
  <si>
    <t>智利國寶頂級典藏夏多內白葡萄酒</t>
  </si>
  <si>
    <t>IN-2305-CH</t>
  </si>
  <si>
    <t>Indomita Varietal Chardonnay 2023</t>
  </si>
  <si>
    <t>智利國寶夏多內白酒</t>
  </si>
  <si>
    <t>255
230</t>
  </si>
  <si>
    <t>11+1     55+5</t>
  </si>
  <si>
    <t>234             211</t>
  </si>
  <si>
    <t>IN-2405-CH</t>
  </si>
  <si>
    <t>Indomita Varietal Chardonnay 2024</t>
  </si>
  <si>
    <t>IN-2216-SB</t>
  </si>
  <si>
    <t>Indomita Varietal Sauvignon Blanc 2022</t>
  </si>
  <si>
    <t>智利國寶精選蘇維翁白葡萄酒</t>
  </si>
  <si>
    <t>245
220</t>
  </si>
  <si>
    <t>11+1      55+5</t>
  </si>
  <si>
    <t>225             202</t>
  </si>
  <si>
    <t>IN-2316-SB</t>
  </si>
  <si>
    <t>Indomita Varietal Sauvignon Blanc 2023</t>
  </si>
  <si>
    <t>225        202</t>
  </si>
  <si>
    <t>IN-2416-SB</t>
  </si>
  <si>
    <t>Indomita Varietal Sauvignon Blanc 2024</t>
  </si>
  <si>
    <t>IN-2115-GR-CSC</t>
  </si>
  <si>
    <t>Indomita Gran Reserva C.C.2021</t>
  </si>
  <si>
    <t>智利國寶 頂級珍藏蘇維翁紅酒</t>
  </si>
  <si>
    <t>IN-2215-GR-CSC</t>
  </si>
  <si>
    <t>Indomita Gran Reserva C.C.2022</t>
  </si>
  <si>
    <t>IN-2315-GR-CSC</t>
  </si>
  <si>
    <t>Indomita Gran Reserva C.C.2023</t>
  </si>
  <si>
    <t>IN-2104-CS</t>
  </si>
  <si>
    <t>Indomita Varietal C.S 2021</t>
  </si>
  <si>
    <t>智利國寶精選蘇維翁(蝸牛)</t>
  </si>
  <si>
    <t>IN-2304-CS</t>
  </si>
  <si>
    <t>Indomita Varietal C.S 2023</t>
  </si>
  <si>
    <t xml:space="preserve">智利國寶精選蘇維翁(蝸牛)  新標  </t>
  </si>
  <si>
    <t>IN-2504-CS</t>
  </si>
  <si>
    <t>Indomita Varietal C.S 2025</t>
  </si>
  <si>
    <t>IN-2024-CS</t>
  </si>
  <si>
    <t>NATIVO Cabernet Sauvignon 2020</t>
  </si>
  <si>
    <t>智利國寶天竹紅酒</t>
  </si>
  <si>
    <t>12+1                   36+3+1                    60+5+3</t>
  </si>
  <si>
    <t>IN-2224-CS</t>
  </si>
  <si>
    <t>NATIVO Cabernet Sauvignon 2022</t>
  </si>
  <si>
    <t>230
220</t>
  </si>
  <si>
    <t>11+1               55+5</t>
  </si>
  <si>
    <t>IN-2324-CS</t>
  </si>
  <si>
    <t>NATIVO Cabernet Sauvignon 2023</t>
  </si>
  <si>
    <t>IN-2524-CS</t>
  </si>
  <si>
    <t>NATIVO Cabernet Sauvignon 2025</t>
  </si>
  <si>
    <t>IN-2128-CV-CS</t>
  </si>
  <si>
    <t>Indomita Costa Vera/Cabernet Sauvignon 2021</t>
  </si>
  <si>
    <t>智利帝王海岸紅葡萄酒</t>
  </si>
  <si>
    <t xml:space="preserve">230
220 </t>
  </si>
  <si>
    <t>IN-2228-CV-CS</t>
  </si>
  <si>
    <t>Indomita Costa Vera/Cabernet Sauvignon 2022</t>
  </si>
  <si>
    <t>11+1         55+5</t>
  </si>
  <si>
    <t>IN-2328-CV-CS</t>
  </si>
  <si>
    <t>Indomita Costa Vera/Cabernet Sauvignon 2023</t>
  </si>
  <si>
    <t>IN-2428-CV-CS</t>
  </si>
  <si>
    <t>Indomita Costa Vera/Cabernet Sauvignon 2024</t>
  </si>
  <si>
    <t>IN-1929-RE-CS</t>
  </si>
  <si>
    <t>Indomita Polero Reserva Cabernet Sauvignon 2019</t>
  </si>
  <si>
    <t>聖瑪堡紅葡萄酒</t>
  </si>
  <si>
    <t>310
300</t>
  </si>
  <si>
    <t>11+1           55+5</t>
  </si>
  <si>
    <t>284              275</t>
  </si>
  <si>
    <t>IN-2130-ME</t>
  </si>
  <si>
    <t>Indomita Varietal Merlot 2021</t>
  </si>
  <si>
    <t>智利國寶梅洛紅葡萄</t>
  </si>
  <si>
    <t>INH-1902-GR-CS</t>
  </si>
  <si>
    <t>Quintus Gran Reserva c.s.2019</t>
  </si>
  <si>
    <t>千里馬頂級珍藏蘇維翁紅酒(盾牌)</t>
  </si>
  <si>
    <t>INH-2202-GR-CS</t>
  </si>
  <si>
    <t>Quintus Gran Reserva c.s.2022</t>
  </si>
  <si>
    <t>INH-2303-CS</t>
  </si>
  <si>
    <t>Indomita Brio C.S 2023</t>
  </si>
  <si>
    <t>千里馬(馬頭)精選蘇維翁</t>
  </si>
  <si>
    <t>INH-2403-CS</t>
  </si>
  <si>
    <t>Indomita Brio C.S 2024</t>
  </si>
  <si>
    <t>INH-2503-CS</t>
  </si>
  <si>
    <t>Indomita Brio C.S 2025</t>
  </si>
  <si>
    <t>INH-2205-PN</t>
  </si>
  <si>
    <t>Duette Premium Pinot Noir 2022</t>
  </si>
  <si>
    <t>千里馬頂級黑皮諾紅酒</t>
  </si>
  <si>
    <t>INP-2007-DP-CS.CA</t>
  </si>
  <si>
    <t>Duette Premium C.S Carmenere 2020</t>
  </si>
  <si>
    <t>千里馬頂級精釀蘇維翁-6入木箱</t>
  </si>
  <si>
    <t>INP-2107-DP-CS.CA</t>
  </si>
  <si>
    <t>Duette Premium C.S Carmenere 2021</t>
  </si>
  <si>
    <t>INP-2207-DP-CS.CA</t>
  </si>
  <si>
    <t>Duette Premium C.S Carmenere 2022</t>
  </si>
  <si>
    <t>INP-2307-DP-CS.CA</t>
  </si>
  <si>
    <t>Duette Premium C.S Carmenere 2023</t>
  </si>
  <si>
    <r>
      <rPr>
        <rFont val="PMingLiu"/>
        <b/>
        <color rgb="FFFF00FF"/>
        <sz val="16.0"/>
      </rPr>
      <t xml:space="preserve">＊智利Santa Loma 智尊法皇 - 馬瑟洛酒莊 </t>
    </r>
    <r>
      <rPr>
        <rFont val="新細明體"/>
        <b/>
        <color rgb="FFFF0000"/>
        <sz val="16.0"/>
      </rPr>
      <t xml:space="preserve"> (宏嘉進口)</t>
    </r>
  </si>
  <si>
    <t>DM-1901-WAX</t>
  </si>
  <si>
    <t>DON MARCELO Premium Secret Blend, Vintage 2019</t>
  </si>
  <si>
    <r>
      <rPr>
        <rFont val="MingLiu"/>
        <b/>
        <color rgb="FF000000"/>
        <sz val="11.0"/>
      </rPr>
      <t>御天至尊馬瑟洛/</t>
    </r>
    <r>
      <rPr>
        <rFont val="細明體"/>
        <b/>
        <color rgb="FF0070C0"/>
        <sz val="11.0"/>
      </rPr>
      <t>6瓶紙箱</t>
    </r>
  </si>
  <si>
    <t>每箱搭贈   單入盒6只</t>
  </si>
  <si>
    <t>毛率利含單入盒80</t>
  </si>
  <si>
    <t>DM-2102-WAX</t>
  </si>
  <si>
    <t>DON MARCELO Limited Edition Carmenere Malbec, Vintage 2021</t>
  </si>
  <si>
    <r>
      <rPr>
        <rFont val="PMingLiu"/>
        <b/>
        <color rgb="FF000000"/>
        <sz val="11.0"/>
      </rPr>
      <t>限量傳奇馬瑟洛/</t>
    </r>
    <r>
      <rPr>
        <rFont val="新細明體"/>
        <b/>
        <color rgb="FF0070C0"/>
        <sz val="11.0"/>
      </rPr>
      <t>6瓶紙箱</t>
    </r>
  </si>
  <si>
    <t>DM-2111</t>
  </si>
  <si>
    <t>MARCELITO Grand Reserve Cabernet Sauvignon, Vintage 2021</t>
  </si>
  <si>
    <r>
      <rPr>
        <rFont val="PMingLiu"/>
        <b/>
        <color rgb="FF000000"/>
        <sz val="11.0"/>
      </rPr>
      <t>尊貴典藏馬瑟洛/</t>
    </r>
    <r>
      <rPr>
        <rFont val="新細明體"/>
        <b/>
        <color rgb="FF0070C0"/>
        <sz val="11.0"/>
      </rPr>
      <t>6瓶紙箱</t>
    </r>
  </si>
  <si>
    <t>DM-2312</t>
  </si>
  <si>
    <t>MARCELITO Cabernet Sauvignon, Vintage 2023</t>
  </si>
  <si>
    <r>
      <rPr>
        <rFont val="PMingLiu"/>
        <b/>
        <color rgb="FF000000"/>
        <sz val="11.0"/>
      </rPr>
      <t>馬瑟洛珍藏卡本內蘇維翁紅葡萄酒</t>
    </r>
    <r>
      <rPr>
        <rFont val="新細明體"/>
        <b/>
        <color rgb="FF000000"/>
        <sz val="11.0"/>
      </rPr>
      <t>/</t>
    </r>
    <r>
      <rPr>
        <rFont val="新細明體"/>
        <b/>
        <color rgb="FF0070C0"/>
        <sz val="11.0"/>
      </rPr>
      <t>6瓶紙箱</t>
    </r>
  </si>
  <si>
    <t>DM-2313</t>
  </si>
  <si>
    <t>MARCELITO Merlot, Vintage 2023</t>
  </si>
  <si>
    <r>
      <rPr>
        <rFont val="PMingLiu"/>
        <b/>
        <color rgb="FF000000"/>
        <sz val="11.0"/>
      </rPr>
      <t>馬瑟洛珍藏梅洛紅葡萄酒/</t>
    </r>
    <r>
      <rPr>
        <rFont val="新細明體"/>
        <b/>
        <color rgb="FF0070C0"/>
        <sz val="11.0"/>
      </rPr>
      <t>6瓶紙箱</t>
    </r>
  </si>
  <si>
    <t>DM-2315</t>
  </si>
  <si>
    <t>MARCELITO Chardonnay, Vintage 2023</t>
  </si>
  <si>
    <r>
      <rPr>
        <rFont val="PMingLiu"/>
        <b/>
        <color rgb="FF000000"/>
        <sz val="11.0"/>
      </rPr>
      <t>馬瑟洛珍藏夏多內白葡萄酒/</t>
    </r>
    <r>
      <rPr>
        <rFont val="新細明體"/>
        <b/>
        <color rgb="FF0070C0"/>
        <sz val="11.0"/>
      </rPr>
      <t>6瓶紙箱</t>
    </r>
  </si>
  <si>
    <t>DM-2316-CAP</t>
  </si>
  <si>
    <t>MARCELITO Moscato Frizzante Semi Sweet, Vintage 2023</t>
  </si>
  <si>
    <r>
      <rPr>
        <rFont val="PMingLiu"/>
        <b/>
        <color rgb="FF000000"/>
        <sz val="11.0"/>
      </rPr>
      <t>馬瑟洛珍藏微氣泡蜜斯嘉白葡萄酒</t>
    </r>
    <r>
      <rPr>
        <rFont val="Arial"/>
        <b/>
        <color rgb="FFFF0000"/>
        <sz val="11.0"/>
      </rPr>
      <t>(</t>
    </r>
    <r>
      <rPr>
        <rFont val="細明體"/>
        <b/>
        <color rgb="FFFF0000"/>
        <sz val="11.0"/>
      </rPr>
      <t>螺</t>
    </r>
    <r>
      <rPr>
        <rFont val="細明體"/>
        <b/>
        <color rgb="FFFF0000"/>
        <sz val="11.0"/>
      </rPr>
      <t>旋瓶</t>
    </r>
    <r>
      <rPr>
        <rFont val="Arial"/>
        <b/>
        <color rgb="FFFF0000"/>
        <sz val="11.0"/>
      </rPr>
      <t>)</t>
    </r>
    <r>
      <rPr>
        <rFont val="Arial"/>
        <b/>
        <color rgb="FF000000"/>
        <sz val="11.0"/>
      </rPr>
      <t>/</t>
    </r>
    <r>
      <rPr>
        <rFont val="Arial"/>
        <b/>
        <color rgb="FF0070C0"/>
        <sz val="11.0"/>
      </rPr>
      <t>6</t>
    </r>
    <r>
      <rPr>
        <rFont val="細明體"/>
        <b/>
        <color rgb="FF0070C0"/>
        <sz val="11.0"/>
      </rPr>
      <t>瓶紙箱</t>
    </r>
  </si>
  <si>
    <t>DM-2417</t>
  </si>
  <si>
    <t>MARCELITO Sauvignon Blanc Semi Sweet, Vintage 2024</t>
  </si>
  <si>
    <r>
      <rPr>
        <rFont val="PMingLiu"/>
        <b/>
        <color rgb="FF000000"/>
        <sz val="11.0"/>
      </rPr>
      <t>馬瑟洛珍藏白蘇維翁白葡萄酒/</t>
    </r>
    <r>
      <rPr>
        <rFont val="新細明體"/>
        <b/>
        <color rgb="FF0070C0"/>
        <sz val="11.0"/>
      </rPr>
      <t>6瓶紙箱</t>
    </r>
  </si>
  <si>
    <t>＊智利威瑪酒莊</t>
  </si>
  <si>
    <t>VM-EL-1102</t>
  </si>
  <si>
    <t>Icons-El incidente 2011</t>
  </si>
  <si>
    <r>
      <rPr>
        <rFont val="PMingLiu"/>
        <b/>
        <color theme="1"/>
        <sz val="11.0"/>
      </rPr>
      <t>天外奇蹟</t>
    </r>
    <r>
      <rPr>
        <rFont val="新細明體"/>
        <b/>
        <color rgb="FFFF0000"/>
        <sz val="11.0"/>
      </rPr>
      <t>(單一木盒)</t>
    </r>
  </si>
  <si>
    <t>WE90/JS93</t>
  </si>
  <si>
    <t>VM-V1-1301</t>
  </si>
  <si>
    <t>Icons-Viu1 2013</t>
  </si>
  <si>
    <t>威瑪一號-6入木箱</t>
  </si>
  <si>
    <t>VM-V8-1601</t>
  </si>
  <si>
    <t xml:space="preserve">Viu8 2016  </t>
  </si>
  <si>
    <t xml:space="preserve">威瑪八號-6入木箱 </t>
  </si>
  <si>
    <t>VM-VP-1405</t>
  </si>
  <si>
    <t>Vibo-Punta del Viento 2014</t>
  </si>
  <si>
    <t>風之谷-6入木箱</t>
  </si>
  <si>
    <t>VM-1707-SV-MA</t>
  </si>
  <si>
    <t>Single Vineyard-San Carlos Malbec 2017</t>
  </si>
  <si>
    <r>
      <rPr>
        <rFont val="PMingLiu"/>
        <b/>
        <color theme="1"/>
        <sz val="11.0"/>
      </rPr>
      <t>限量版單一莊園馬貝克紅葡萄酒/</t>
    </r>
    <r>
      <rPr>
        <rFont val="新細明體"/>
        <b/>
        <color rgb="FF0070C0"/>
        <sz val="11.0"/>
      </rPr>
      <t>6瓶紙箱</t>
    </r>
  </si>
  <si>
    <t>VM-1708-SV-SH</t>
  </si>
  <si>
    <t>Single Vineyard-El Olivar Alto Syrah 2017</t>
  </si>
  <si>
    <r>
      <rPr>
        <rFont val="PMingLiu"/>
        <b/>
        <color theme="1"/>
        <sz val="11.0"/>
      </rPr>
      <t>限量版單一莊園希哈紅葡萄酒/</t>
    </r>
    <r>
      <rPr>
        <rFont val="新細明體"/>
        <b/>
        <color rgb="FF0070C0"/>
        <sz val="11.0"/>
      </rPr>
      <t>6瓶紙箱</t>
    </r>
  </si>
  <si>
    <t>VM-1715-SE-SB</t>
  </si>
  <si>
    <t>Secreto-Sauvignon Blanc 2017</t>
  </si>
  <si>
    <r>
      <rPr>
        <rFont val="PMingLiu"/>
        <b/>
        <color theme="1"/>
        <sz val="11.0"/>
      </rPr>
      <t>秘藏系列白蘇維翁白葡萄酒</t>
    </r>
    <r>
      <rPr>
        <rFont val="新細明體"/>
        <b/>
        <color rgb="FFFF0000"/>
        <sz val="11.0"/>
      </rPr>
      <t>(螺絲瓶)</t>
    </r>
    <r>
      <rPr>
        <rFont val="新細明體"/>
        <b/>
        <color theme="1"/>
        <sz val="11.0"/>
      </rPr>
      <t xml:space="preserve">                                                       </t>
    </r>
  </si>
  <si>
    <t>VM-1711-GR-CH</t>
  </si>
  <si>
    <t>Gran Reserva-Chardonnay 2017</t>
  </si>
  <si>
    <r>
      <rPr>
        <rFont val="PMingLiu"/>
        <b/>
        <color theme="1"/>
        <sz val="11.0"/>
      </rPr>
      <t>極品珍藏夏多內白葡萄酒</t>
    </r>
    <r>
      <rPr>
        <rFont val="新細明體"/>
        <b/>
        <color rgb="FFFF0000"/>
        <sz val="11.0"/>
      </rPr>
      <t>(螺旋瓶)</t>
    </r>
  </si>
  <si>
    <t>＊智利(外購酒)</t>
  </si>
  <si>
    <t xml:space="preserve">Montes Purple Angel 2003 </t>
  </si>
  <si>
    <t>蒙帝斯紫色天使</t>
  </si>
  <si>
    <t xml:space="preserve">Montes Purple Angel 2004 </t>
  </si>
  <si>
    <t xml:space="preserve">Montes Purple Angel 2005 </t>
  </si>
  <si>
    <t xml:space="preserve">Montes Purple Angel 2006 </t>
  </si>
  <si>
    <t>APT-05</t>
  </si>
  <si>
    <t>Casa Lapostolle Clos Apalta Estate Bottled 2005</t>
  </si>
  <si>
    <t>阿帕塔莊園 WS 2008 (百大第1名)</t>
  </si>
  <si>
    <t>V07R301B09</t>
  </si>
  <si>
    <t>Marques Cabernet Sauvign 2009</t>
  </si>
  <si>
    <t>爵士卡本內蘇維翁</t>
  </si>
  <si>
    <t>＊日本酒</t>
  </si>
  <si>
    <t>JPW385</t>
  </si>
  <si>
    <t>日本小鼓梅酒</t>
  </si>
  <si>
    <t>＊澳洲酒</t>
  </si>
  <si>
    <t>MIT-0505-PR-CS</t>
  </si>
  <si>
    <t>Preece Cabernet Sauvignon</t>
  </si>
  <si>
    <t>普銳斯卡本內蘇維翁</t>
  </si>
  <si>
    <t>MIT-0506-PR-ME</t>
  </si>
  <si>
    <t>Preece Merlot 2005</t>
  </si>
  <si>
    <t>普銳斯梅洛</t>
  </si>
  <si>
    <t>MIT-0507-BK-RI</t>
  </si>
  <si>
    <t>Mitchelton Blackwood Park Botrytis Riesling</t>
  </si>
  <si>
    <r>
      <rPr>
        <rFont val="PMingLiu"/>
        <b/>
        <color rgb="FF000000"/>
        <sz val="11.0"/>
      </rPr>
      <t>保德利莉絲琳貴腐甜白酒</t>
    </r>
    <r>
      <rPr>
        <rFont val="新細明體"/>
        <b/>
        <color rgb="FFFF0000"/>
        <sz val="11.0"/>
      </rPr>
      <t>(螺旋瓶</t>
    </r>
    <r>
      <rPr>
        <rFont val="新細明體"/>
        <b/>
        <color rgb="FFFF0000"/>
        <sz val="12.0"/>
      </rPr>
      <t>)</t>
    </r>
  </si>
  <si>
    <t>MIT-0836-CB-RI</t>
  </si>
  <si>
    <t>Mitchelton Clarke`s Block Riesling</t>
  </si>
  <si>
    <t>晚摘型莉絲琳甜白酒</t>
  </si>
  <si>
    <t>MIT-9719-MI-MAS</t>
  </si>
  <si>
    <t>MIT. Classic Release Marsanne 1997</t>
  </si>
  <si>
    <t>米其爾頓經典瑪莎妮</t>
  </si>
  <si>
    <t>MIT-PR33-SP</t>
  </si>
  <si>
    <t>NV Preece Sparkling</t>
  </si>
  <si>
    <t>普銳斯氣泡酒</t>
  </si>
  <si>
    <t>SH-0531-OB-SH</t>
  </si>
  <si>
    <t>St Hallett Old Block Shiraz 2005</t>
  </si>
  <si>
    <t>聖海力特老藤希哈</t>
  </si>
  <si>
    <t>SH-0931-OB-SH</t>
  </si>
  <si>
    <t>ST Hallett Old Block Shiraz2009</t>
  </si>
  <si>
    <r>
      <rPr>
        <rFont val="PMingLiu"/>
        <b/>
        <color rgb="FF000000"/>
        <sz val="11.0"/>
      </rPr>
      <t>聖海力特老藤希哈</t>
    </r>
    <r>
      <rPr>
        <rFont val="新細明體"/>
        <b/>
        <color rgb="FFFF0000"/>
        <sz val="11.0"/>
      </rPr>
      <t>(螺旋瓶)</t>
    </r>
  </si>
  <si>
    <t>SH-9931-OB-SH</t>
  </si>
  <si>
    <t>ST Hallett Old Block Shiraz</t>
  </si>
  <si>
    <t>酒廠贈送試飲</t>
  </si>
  <si>
    <t>SH-1031-OB-SH</t>
  </si>
  <si>
    <t>ST Hallett Old Block Shiraz2010</t>
  </si>
  <si>
    <r>
      <rPr>
        <rFont val="PMingLiu"/>
        <b/>
        <color rgb="FF000000"/>
        <sz val="11.0"/>
      </rPr>
      <t>聖海力特老藤希哈</t>
    </r>
    <r>
      <rPr>
        <rFont val="新細明體"/>
        <b/>
        <color rgb="FFFF0000"/>
        <sz val="11.0"/>
      </rPr>
      <t>(螺旋瓶)</t>
    </r>
  </si>
  <si>
    <t>JH97/WS92/WE90</t>
  </si>
  <si>
    <t>SH-0839-BW-SH</t>
  </si>
  <si>
    <t>SH Blackwell Shiraz 2008</t>
  </si>
  <si>
    <r>
      <rPr>
        <rFont val="PMingLiu"/>
        <b/>
        <color rgb="FF000000"/>
        <sz val="11.0"/>
      </rPr>
      <t>聖海力特釀酒師精選布萊克威希哈</t>
    </r>
    <r>
      <rPr>
        <rFont val="新細明體"/>
        <b/>
        <color rgb="FFFF0000"/>
        <sz val="11.0"/>
      </rPr>
      <t>(螺旋瓶)</t>
    </r>
  </si>
  <si>
    <t>JH97/WS92/WE94</t>
  </si>
  <si>
    <t>售林盛文1100</t>
  </si>
  <si>
    <t>SH-0940-FM</t>
  </si>
  <si>
    <t>ST Hallett Frivola Moscato</t>
  </si>
  <si>
    <t>聖海力特幕司卡多驚豔粉紅酒-汽水瓶蓋</t>
  </si>
  <si>
    <t>SH-0944-1-FA-SH</t>
  </si>
  <si>
    <r>
      <rPr>
        <rFont val="PMingLiu"/>
        <b/>
        <color theme="1"/>
        <sz val="11.0"/>
      </rPr>
      <t xml:space="preserve">ST Hallett Faith Shiraz </t>
    </r>
    <r>
      <rPr>
        <rFont val="新細明體"/>
        <b/>
        <color rgb="FFFF0000"/>
        <sz val="11.0"/>
      </rPr>
      <t>1.5L</t>
    </r>
  </si>
  <si>
    <t>聖海力特裴思希哈紅酒</t>
  </si>
  <si>
    <t>STON-06053-RE-PN</t>
  </si>
  <si>
    <t>Stonier Reserve Pinot Noir 2006</t>
  </si>
  <si>
    <t>半島皇后珍藏黑皮諾醇釀葡萄酒</t>
  </si>
  <si>
    <t>TATA-20002-SH</t>
  </si>
  <si>
    <t>Tatachilla Foundation Shiraz</t>
  </si>
  <si>
    <t>澳洲地寶旗艦酒</t>
  </si>
  <si>
    <t>YER-9552-SE</t>
  </si>
  <si>
    <t>Y.S. Botrytis Semillon 1995</t>
  </si>
  <si>
    <t>瑟美絨貴腐甜白洒</t>
  </si>
  <si>
    <t>AMD-304J121A</t>
  </si>
  <si>
    <t xml:space="preserve">Mollydooker Carnival of Love Shiraz 2012 </t>
  </si>
  <si>
    <t>愛的嘉年華希哈紅酒</t>
  </si>
  <si>
    <t>AMD-501J101A</t>
  </si>
  <si>
    <t xml:space="preserve">Gigglepot Cabernet Sauvignon 2010 </t>
  </si>
  <si>
    <t>笑臉女孩卡本內蘇維翁紅酒</t>
  </si>
  <si>
    <t>AMD-504J101A</t>
  </si>
  <si>
    <t xml:space="preserve">Blue Eyed Boy Shiraz 2010 </t>
  </si>
  <si>
    <t>藍眼男孩希哈紅酒</t>
  </si>
  <si>
    <t>AMD-701J101A</t>
  </si>
  <si>
    <t xml:space="preserve">Two Left Feet (Shiraz, Cabernet Sauvignon, Merlot) 2010 </t>
  </si>
  <si>
    <t>雙左腳紅酒</t>
  </si>
  <si>
    <t>AMD-704J101A</t>
  </si>
  <si>
    <t xml:space="preserve">The Boxer Shiraz 2010 </t>
  </si>
  <si>
    <t>拳擊手希哈紅酒</t>
  </si>
  <si>
    <t>AUH-GR0204</t>
  </si>
  <si>
    <t>Henschke,Hill of Grace Shiraz 2002</t>
  </si>
  <si>
    <t>漢思吉酒廠恩竉山施赫紅酒</t>
  </si>
  <si>
    <t>AUH-HR0206</t>
  </si>
  <si>
    <t>Henschke Henry`sSeven 2002</t>
  </si>
  <si>
    <t>漢斯吉酒莊 亨利七號 紅酒</t>
  </si>
  <si>
    <t>WF-GL-CH-14</t>
  </si>
  <si>
    <t>Wolf Blass Gold Label Chardonnay 2014</t>
  </si>
  <si>
    <t>禾富酒莊金牌夏多內白葡萄酒</t>
  </si>
  <si>
    <t>＊澳洲-杭特莊園</t>
  </si>
  <si>
    <t>HF1201-SH</t>
  </si>
  <si>
    <t>Hentley Farm Clos Otto Shiraz 2012</t>
  </si>
  <si>
    <t>杭特莊園奧圖大帝希哈紅酒</t>
  </si>
  <si>
    <t>JH97/RP93+</t>
  </si>
  <si>
    <t>HF1401-SH</t>
  </si>
  <si>
    <t>Hentley Farm Clos Otto Shiraz 2014</t>
  </si>
  <si>
    <r>
      <rPr>
        <rFont val="PMingLiu"/>
        <b/>
        <color rgb="FF000000"/>
        <sz val="11.0"/>
      </rPr>
      <t>杭特莊園奧圖大帝希哈紅酒/</t>
    </r>
    <r>
      <rPr>
        <rFont val="新細明體"/>
        <b/>
        <color rgb="FF0070C0"/>
        <sz val="11.0"/>
      </rPr>
      <t>6瓶紙箱</t>
    </r>
  </si>
  <si>
    <t>JH95/RP96/WS93</t>
  </si>
  <si>
    <t>HF1701-SH</t>
  </si>
  <si>
    <t>Hentley Farm Clos Otto Shiraz 2017</t>
  </si>
  <si>
    <r>
      <rPr>
        <rFont val="PMingLiu"/>
        <b/>
        <color rgb="FF000000"/>
        <sz val="11.0"/>
      </rPr>
      <t>杭特莊園奧圖大帝希哈紅酒/</t>
    </r>
    <r>
      <rPr>
        <rFont val="新細明體"/>
        <b/>
        <color rgb="FF0070C0"/>
        <sz val="11.0"/>
      </rPr>
      <t>6瓶紙箱</t>
    </r>
  </si>
  <si>
    <t>HF1202-SH</t>
  </si>
  <si>
    <t>Hentley Farm The Beast Shiraz 2012</t>
  </si>
  <si>
    <t>杭特莊園野獸希哈紅酒</t>
  </si>
  <si>
    <t>RP95+</t>
  </si>
  <si>
    <t>HF1302-SH</t>
  </si>
  <si>
    <t>Hentley Farm The Beast Shiraz 2013</t>
  </si>
  <si>
    <t>HF1402-SH</t>
  </si>
  <si>
    <t>Hentley Farm The Beast Shiraz 2014</t>
  </si>
  <si>
    <r>
      <rPr>
        <rFont val="PMingLiu"/>
        <b/>
        <color rgb="FF000000"/>
        <sz val="11.0"/>
      </rPr>
      <t>杭特莊園野獸希哈紅酒/</t>
    </r>
    <r>
      <rPr>
        <rFont val="新細明體"/>
        <b/>
        <color rgb="FF0070C0"/>
        <sz val="11.0"/>
      </rPr>
      <t>6瓶紙箱</t>
    </r>
  </si>
  <si>
    <t>JH97</t>
  </si>
  <si>
    <t>HF1702-SH</t>
  </si>
  <si>
    <t>Hentley Farm The Beast Shiraz 2017</t>
  </si>
  <si>
    <r>
      <rPr>
        <rFont val="PMingLiu"/>
        <b/>
        <color rgb="FF000000"/>
        <sz val="11.0"/>
      </rPr>
      <t>杭特莊園野獸希哈紅酒/</t>
    </r>
    <r>
      <rPr>
        <rFont val="新細明體"/>
        <b/>
        <color rgb="FF0070C0"/>
        <sz val="11.0"/>
      </rPr>
      <t>6瓶紙箱</t>
    </r>
  </si>
  <si>
    <t>HF1303-SH</t>
  </si>
  <si>
    <t>Hentley Farm The Beauty Shiraz 2013</t>
  </si>
  <si>
    <t>杭特莊園美女希哈紅酒</t>
  </si>
  <si>
    <t>JH97/RP92</t>
  </si>
  <si>
    <t>HF1703-SH</t>
  </si>
  <si>
    <t>Hentley Farm The Beauty Shiraz 2017</t>
  </si>
  <si>
    <r>
      <rPr>
        <rFont val="PMingLiu"/>
        <b/>
        <color rgb="FF000000"/>
        <sz val="11.0"/>
      </rPr>
      <t>杭特莊園美女希哈紅酒/</t>
    </r>
    <r>
      <rPr>
        <rFont val="新細明體"/>
        <b/>
        <color rgb="FF0070C0"/>
        <sz val="11.0"/>
      </rPr>
      <t>6瓶紙箱</t>
    </r>
  </si>
  <si>
    <t>HF1404-ZF</t>
  </si>
  <si>
    <t>Hentley Farm Zinfandel 2014</t>
  </si>
  <si>
    <r>
      <rPr>
        <rFont val="PMingLiu"/>
        <b/>
        <color rgb="FF000000"/>
        <sz val="11.0"/>
      </rPr>
      <t>杭特莊園金芬黛紅酒</t>
    </r>
    <r>
      <rPr>
        <rFont val="新細明體"/>
        <b/>
        <color rgb="FFFF0000"/>
        <sz val="11.0"/>
      </rPr>
      <t>(螺旋瓶)</t>
    </r>
  </si>
  <si>
    <t>RP88</t>
  </si>
  <si>
    <t>HF1405-CS</t>
  </si>
  <si>
    <t>Hentley Farm Cabernet Sauvignon 2014</t>
  </si>
  <si>
    <r>
      <rPr>
        <rFont val="PMingLiu"/>
        <b/>
        <color rgb="FF000000"/>
        <sz val="11.0"/>
      </rPr>
      <t>杭特莊園卡本內蘇維翁紅酒</t>
    </r>
    <r>
      <rPr>
        <rFont val="新細明體"/>
        <b/>
        <color rgb="FFFF0000"/>
        <sz val="11.0"/>
      </rPr>
      <t>(螺旋瓶)</t>
    </r>
  </si>
  <si>
    <t>JH95</t>
  </si>
  <si>
    <t>HF1306-SH</t>
  </si>
  <si>
    <t>Hentley Farm Caretaker Shiraz 2013</t>
  </si>
  <si>
    <r>
      <rPr>
        <rFont val="PMingLiu"/>
        <b/>
        <color rgb="FF000000"/>
        <sz val="11.0"/>
      </rPr>
      <t>杭特莊園守護者希哈紅酒</t>
    </r>
    <r>
      <rPr>
        <rFont val="新細明體"/>
        <b/>
        <color rgb="FFFF0000"/>
        <sz val="11.0"/>
      </rPr>
      <t>(螺旋瓶)</t>
    </r>
  </si>
  <si>
    <t>HF1807-X-WH</t>
  </si>
  <si>
    <t>Hentley Farm Poppy (White Field Blend) 2018</t>
  </si>
  <si>
    <r>
      <rPr>
        <rFont val="PMingLiu"/>
        <b/>
        <color rgb="FF000000"/>
        <sz val="11.0"/>
      </rPr>
      <t>杭特莊園公主白葡萄酒</t>
    </r>
    <r>
      <rPr>
        <rFont val="新細明體"/>
        <b/>
        <color rgb="FFFF0000"/>
        <sz val="11.0"/>
      </rPr>
      <t>(螺旋瓶)</t>
    </r>
  </si>
  <si>
    <t>HF1811-X</t>
  </si>
  <si>
    <t>Hentley Farm Dirty Bliss 2018</t>
  </si>
  <si>
    <r>
      <rPr>
        <rFont val="PMingLiu"/>
        <b/>
        <color rgb="FF000000"/>
        <sz val="11.0"/>
      </rPr>
      <t>混亂中的小確幸紅葡萄酒</t>
    </r>
    <r>
      <rPr>
        <rFont val="新細明體"/>
        <b/>
        <color rgb="FFFF0000"/>
        <sz val="11.0"/>
      </rPr>
      <t>(螺旋瓶)</t>
    </r>
  </si>
  <si>
    <t>HF2012-RI</t>
  </si>
  <si>
    <t>Hentley Farm Riesling 2020</t>
  </si>
  <si>
    <r>
      <rPr>
        <rFont val="PMingLiu"/>
        <b/>
        <color rgb="FF000000"/>
        <sz val="11.0"/>
      </rPr>
      <t>杭特莊園麗絲玲白葡萄酒</t>
    </r>
    <r>
      <rPr>
        <rFont val="新細明體"/>
        <b/>
        <color rgb="FFFF0000"/>
        <sz val="11.0"/>
      </rPr>
      <t>(螺旋瓶)</t>
    </r>
  </si>
  <si>
    <t>＊澳洲酒 -伯頓莊園</t>
  </si>
  <si>
    <t>BV-1801-SH-RE</t>
  </si>
  <si>
    <t>Reserve Barossa Shiraz 2018</t>
  </si>
  <si>
    <r>
      <rPr>
        <rFont val="PMingLiu"/>
        <b/>
        <color rgb="FF000000"/>
        <sz val="11.0"/>
      </rPr>
      <t>頂級釀酒師鑽石典藏巴蘿莎希哈</t>
    </r>
    <r>
      <rPr>
        <rFont val="新細明體"/>
        <b/>
        <color rgb="FFFF0000"/>
        <sz val="11.0"/>
      </rPr>
      <t>(螺旋瓶)</t>
    </r>
    <r>
      <rPr>
        <rFont val="新細明體"/>
        <b/>
        <color rgb="FF000000"/>
        <sz val="11.0"/>
      </rPr>
      <t>/</t>
    </r>
    <r>
      <rPr>
        <rFont val="新細明體"/>
        <b/>
        <color rgb="FF0070C0"/>
        <sz val="11.0"/>
      </rPr>
      <t>6瓶紙箱</t>
    </r>
  </si>
  <si>
    <t>BV-2101-SH-RE</t>
  </si>
  <si>
    <t>Reserve Barossa Shiraz 2021</t>
  </si>
  <si>
    <r>
      <rPr>
        <rFont val="PMingLiu"/>
        <b/>
        <color rgb="FF000000"/>
        <sz val="11.0"/>
      </rPr>
      <t>頂級釀酒師鑽石典藏巴蘿莎希哈</t>
    </r>
    <r>
      <rPr>
        <rFont val="新細明體"/>
        <b/>
        <color rgb="FFFF0000"/>
        <sz val="11.0"/>
      </rPr>
      <t>(螺旋瓶)</t>
    </r>
    <r>
      <rPr>
        <rFont val="新細明體"/>
        <b/>
        <color rgb="FF000000"/>
        <sz val="11.0"/>
      </rPr>
      <t>/</t>
    </r>
    <r>
      <rPr>
        <rFont val="新細明體"/>
        <b/>
        <color rgb="FF0070C0"/>
        <sz val="11.0"/>
      </rPr>
      <t>6瓶紙箱</t>
    </r>
  </si>
  <si>
    <t>BV-1702-CS-RE</t>
  </si>
  <si>
    <t>Reserve  Cabernet Aauvignon 2017</t>
  </si>
  <si>
    <r>
      <rPr>
        <rFont val="PMingLiu"/>
        <b/>
        <color rgb="FF000000"/>
        <sz val="11.0"/>
      </rPr>
      <t>頂級釀酒師鑽石典藏庫納瓦蘇維翁/</t>
    </r>
    <r>
      <rPr>
        <rFont val="新細明體"/>
        <b/>
        <color rgb="FF0070C0"/>
        <sz val="11.0"/>
      </rPr>
      <t>6瓶紙箱</t>
    </r>
  </si>
  <si>
    <t>BV-2102-CS-RE</t>
  </si>
  <si>
    <t>Reserve  Cabernet Aauvignon 2021</t>
  </si>
  <si>
    <r>
      <rPr>
        <rFont val="PMingLiu"/>
        <b/>
        <color rgb="FF000000"/>
        <sz val="11.0"/>
      </rPr>
      <t>頂級釀酒師鑽石典藏庫納瓦蘇維翁/</t>
    </r>
    <r>
      <rPr>
        <rFont val="新細明體"/>
        <b/>
        <color rgb="FF0070C0"/>
        <sz val="11.0"/>
      </rPr>
      <t>6瓶紙箱</t>
    </r>
  </si>
  <si>
    <t>BV-1903-ML-SH</t>
  </si>
  <si>
    <t>Metal label Black Shiraz 2019</t>
  </si>
  <si>
    <r>
      <rPr>
        <rFont val="PMingLiu"/>
        <b/>
        <color rgb="FF000000"/>
        <sz val="11.0"/>
      </rPr>
      <t>精選白金希哈紅葡萄酒/</t>
    </r>
    <r>
      <rPr>
        <rFont val="新細明體"/>
        <b/>
        <color rgb="FF0070C0"/>
        <sz val="11.0"/>
      </rPr>
      <t>6瓶紙箱</t>
    </r>
  </si>
  <si>
    <t>BV-2003-ML-SH</t>
  </si>
  <si>
    <t>Metal label Black Shiraz 2020</t>
  </si>
  <si>
    <r>
      <rPr>
        <rFont val="PMingLiu"/>
        <b/>
        <color rgb="FF000000"/>
        <sz val="11.0"/>
      </rPr>
      <t>精選白金希哈紅葡萄酒</t>
    </r>
    <r>
      <rPr>
        <rFont val="新細明體"/>
        <b/>
        <color rgb="FFFF0000"/>
        <sz val="11.0"/>
      </rPr>
      <t>(螺旋瓶)</t>
    </r>
    <r>
      <rPr>
        <rFont val="新細明體"/>
        <b/>
        <color rgb="FF000000"/>
        <sz val="11.0"/>
      </rPr>
      <t>/</t>
    </r>
    <r>
      <rPr>
        <rFont val="新細明體"/>
        <b/>
        <color rgb="FF0070C0"/>
        <sz val="11.0"/>
      </rPr>
      <t>6瓶紙箱</t>
    </r>
  </si>
  <si>
    <t>BV-1904-ML-CS</t>
  </si>
  <si>
    <t>Metal label Cab. Sau. 2019</t>
  </si>
  <si>
    <r>
      <rPr>
        <rFont val="PMingLiu"/>
        <b/>
        <color rgb="FF000000"/>
        <sz val="11.0"/>
      </rPr>
      <t>精選白金蘇維翁紅葡萄酒/</t>
    </r>
    <r>
      <rPr>
        <rFont val="新細明體"/>
        <b/>
        <color rgb="FF0070C0"/>
        <sz val="11.0"/>
      </rPr>
      <t>6瓶紙箱</t>
    </r>
  </si>
  <si>
    <t>BV-1505-FS-CS</t>
  </si>
  <si>
    <t>Foundstone Cab. Sau. 2015</t>
  </si>
  <si>
    <r>
      <rPr>
        <rFont val="PMingLiu"/>
        <b/>
        <color rgb="FF000000"/>
        <sz val="11.0"/>
      </rPr>
      <t>特級寶石蘇維翁紅葡萄酒</t>
    </r>
    <r>
      <rPr>
        <rFont val="新細明體"/>
        <b/>
        <color rgb="FFFF0000"/>
        <sz val="11.0"/>
      </rPr>
      <t>(螺旋瓶)</t>
    </r>
    <r>
      <rPr>
        <rFont val="新細明體"/>
        <b/>
        <color rgb="FF000000"/>
        <sz val="11.0"/>
      </rPr>
      <t>/</t>
    </r>
    <r>
      <rPr>
        <rFont val="新細明體"/>
        <b/>
        <color rgb="FF0070C0"/>
        <sz val="11.0"/>
      </rPr>
      <t>6瓶紙箱</t>
    </r>
  </si>
  <si>
    <t>BV-1506-FS-ME</t>
  </si>
  <si>
    <t>Foundstone Merlot 2015</t>
  </si>
  <si>
    <r>
      <rPr>
        <rFont val="PMingLiu"/>
        <b/>
        <color rgb="FF000000"/>
        <sz val="11.0"/>
      </rPr>
      <t>特級寶石梅洛紅葡萄酒</t>
    </r>
    <r>
      <rPr>
        <rFont val="新細明體"/>
        <b/>
        <color rgb="FFFF0000"/>
        <sz val="11.0"/>
      </rPr>
      <t>(螺旋瓶)</t>
    </r>
    <r>
      <rPr>
        <rFont val="新細明體"/>
        <b/>
        <color rgb="FF000000"/>
        <sz val="11.0"/>
      </rPr>
      <t>/</t>
    </r>
    <r>
      <rPr>
        <rFont val="新細明體"/>
        <b/>
        <color rgb="FF0070C0"/>
        <sz val="11.0"/>
      </rPr>
      <t>6瓶紙箱</t>
    </r>
  </si>
  <si>
    <t>BV-1907-FS-SH</t>
  </si>
  <si>
    <t>Foundstone Shiraz 2019</t>
  </si>
  <si>
    <r>
      <rPr>
        <rFont val="PMingLiu"/>
        <b/>
        <color rgb="FF000000"/>
        <sz val="11.0"/>
      </rPr>
      <t>特級寶石希哈紅葡萄酒/</t>
    </r>
    <r>
      <rPr>
        <rFont val="新細明體"/>
        <b/>
        <color rgb="FF0070C0"/>
        <sz val="11.0"/>
      </rPr>
      <t>6瓶紙箱</t>
    </r>
  </si>
  <si>
    <t>BV-2207-FS-SH</t>
  </si>
  <si>
    <t>Foundstone Shiraz 2022</t>
  </si>
  <si>
    <r>
      <rPr>
        <rFont val="PMingLiu"/>
        <b/>
        <color rgb="FF000000"/>
        <sz val="11.0"/>
      </rPr>
      <t>特級寶石希哈紅葡萄酒/</t>
    </r>
    <r>
      <rPr>
        <rFont val="新細明體"/>
        <b/>
        <color rgb="FF0070C0"/>
        <sz val="11.0"/>
      </rPr>
      <t>6瓶紙箱</t>
    </r>
  </si>
  <si>
    <t>BV-1810-GL-SH</t>
  </si>
  <si>
    <t>Metal Iabel Gold Limited Release Black Shiraz 2018</t>
  </si>
  <si>
    <r>
      <rPr>
        <rFont val="PMingLiu"/>
        <b/>
        <color rgb="FF000000"/>
        <sz val="11.0"/>
      </rPr>
      <t>精選白金金牌希哈紅葡萄酒</t>
    </r>
    <r>
      <rPr>
        <rFont val="新細明體"/>
        <b/>
        <color rgb="FFFF0000"/>
        <sz val="11.0"/>
      </rPr>
      <t>(螺旋瓶)</t>
    </r>
    <r>
      <rPr>
        <rFont val="新細明體"/>
        <b/>
        <color rgb="FF000000"/>
        <sz val="11.0"/>
      </rPr>
      <t>/</t>
    </r>
    <r>
      <rPr>
        <rFont val="新細明體"/>
        <b/>
        <color rgb="FF0070C0"/>
        <sz val="11.0"/>
      </rPr>
      <t>6瓶紙箱</t>
    </r>
  </si>
  <si>
    <t>BV-2411-ML-CH</t>
  </si>
  <si>
    <t>Metal Iabel Limestone Coast Chardonnay 2024</t>
  </si>
  <si>
    <r>
      <rPr>
        <rFont val="PMingLiu"/>
        <b/>
        <color rgb="FF000000"/>
        <sz val="11.0"/>
      </rPr>
      <t>精選白金夏多內白葡萄酒</t>
    </r>
    <r>
      <rPr>
        <rFont val="新細明體"/>
        <b/>
        <color rgb="FFFF0000"/>
        <sz val="11.0"/>
      </rPr>
      <t>(螺旋瓶)</t>
    </r>
    <r>
      <rPr>
        <rFont val="新細明體"/>
        <b/>
        <color rgb="FF000000"/>
        <sz val="11.0"/>
      </rPr>
      <t>/</t>
    </r>
    <r>
      <rPr>
        <rFont val="新細明體"/>
        <b/>
        <color rgb="FF0070C0"/>
        <sz val="11.0"/>
      </rPr>
      <t>6瓶紙箱</t>
    </r>
  </si>
  <si>
    <t>BV-1812-SE-RE</t>
  </si>
  <si>
    <r>
      <rPr>
        <rFont val="PMingLiu"/>
        <b/>
        <color rgb="FF000000"/>
        <sz val="11.0"/>
      </rPr>
      <t xml:space="preserve">Reserve Botrytis Semillon 2018 </t>
    </r>
    <r>
      <rPr>
        <rFont val="新細明體"/>
        <b/>
        <color rgb="FFFF0000"/>
        <sz val="11.0"/>
      </rPr>
      <t>375ml</t>
    </r>
  </si>
  <si>
    <r>
      <rPr>
        <rFont val="PMingLiu"/>
        <b/>
        <color rgb="FF000000"/>
        <sz val="11.0"/>
      </rPr>
      <t>頂級釀酒師鑽石典藏貴腐甜白</t>
    </r>
    <r>
      <rPr>
        <rFont val="新細明體"/>
        <b/>
        <color rgb="FFFF0000"/>
        <sz val="11.0"/>
      </rPr>
      <t>(螺旋瓶)</t>
    </r>
  </si>
  <si>
    <t>＊西澳</t>
  </si>
  <si>
    <t>SB-1308-SB</t>
  </si>
  <si>
    <t>SKUTTLEBUTT SAUVIGNON NUOVO</t>
  </si>
  <si>
    <t>西澳斯卡都微甜白酒</t>
  </si>
  <si>
    <t>24+3</t>
  </si>
  <si>
    <t>＊西班牙酒品</t>
  </si>
  <si>
    <t>WI041A</t>
  </si>
  <si>
    <t>Osborne Medium Sherry</t>
  </si>
  <si>
    <t>雪莉酒</t>
  </si>
  <si>
    <t>＊西班牙-莫嘉鐸酒莊</t>
  </si>
  <si>
    <t>CM-1201</t>
  </si>
  <si>
    <t xml:space="preserve">Clos Mogador 2012                           </t>
  </si>
  <si>
    <t>莫嘉鐸紅葡萄酒-6入木箱</t>
  </si>
  <si>
    <t>RP98</t>
  </si>
  <si>
    <t>CM-1301</t>
  </si>
  <si>
    <t xml:space="preserve">Clos Mogador 2013                               </t>
  </si>
  <si>
    <t xml:space="preserve">CM-1401 </t>
  </si>
  <si>
    <t xml:space="preserve">Clos Mogador 2014 </t>
  </si>
  <si>
    <r>
      <rPr>
        <rFont val="PMingLiu"/>
        <b/>
        <color rgb="FF000000"/>
        <sz val="11.0"/>
      </rPr>
      <t>莫嘉鐸紅葡萄酒/</t>
    </r>
    <r>
      <rPr>
        <rFont val="新細明體"/>
        <b/>
        <color rgb="FF0070C0"/>
        <sz val="11.0"/>
      </rPr>
      <t>6瓶紙箱</t>
    </r>
  </si>
  <si>
    <t>CM-1302-WH</t>
  </si>
  <si>
    <t xml:space="preserve">Nelin 2013                                    </t>
  </si>
  <si>
    <r>
      <rPr>
        <rFont val="PMingLiu"/>
        <b/>
        <color rgb="FF000000"/>
        <sz val="11.0"/>
      </rPr>
      <t>娜寧白葡萄酒/</t>
    </r>
    <r>
      <rPr>
        <rFont val="新細明體"/>
        <b/>
        <color rgb="FF0070C0"/>
        <sz val="11.0"/>
      </rPr>
      <t>6瓶紙箱</t>
    </r>
  </si>
  <si>
    <t>WA94</t>
  </si>
  <si>
    <t>CM-1203</t>
  </si>
  <si>
    <t xml:space="preserve">Manyetes 2012                                  </t>
  </si>
  <si>
    <r>
      <rPr>
        <rFont val="PMingLiu"/>
        <b/>
        <color rgb="FF000000"/>
        <sz val="11.0"/>
      </rPr>
      <t>曼耶戴斯紅葡萄酒/</t>
    </r>
    <r>
      <rPr>
        <rFont val="新細明體"/>
        <b/>
        <color rgb="FF0070C0"/>
        <sz val="11.0"/>
      </rPr>
      <t>6瓶紙箱</t>
    </r>
  </si>
  <si>
    <t>WA95</t>
  </si>
  <si>
    <t>ESP-1201</t>
  </si>
  <si>
    <r>
      <rPr>
        <rFont val="PMingLiu"/>
        <b/>
        <color rgb="FF000000"/>
        <sz val="11.0"/>
      </rPr>
      <t xml:space="preserve">Espectacle Montsant 2012 </t>
    </r>
    <r>
      <rPr>
        <rFont val="新細明體"/>
        <b/>
        <color rgb="FFFF0000"/>
        <sz val="11.0"/>
      </rPr>
      <t>(佳釀)</t>
    </r>
  </si>
  <si>
    <t>夢幻美景大師協奏曲</t>
  </si>
  <si>
    <t>RP/WA99</t>
  </si>
  <si>
    <t>＊西班牙-阿塔帝酒莊</t>
  </si>
  <si>
    <t>AR-EP-0801</t>
  </si>
  <si>
    <r>
      <rPr>
        <rFont val="PMingLiu"/>
        <b/>
        <color theme="1"/>
        <sz val="11.0"/>
      </rPr>
      <t xml:space="preserve">Vina EL Pison 2008                                             </t>
    </r>
    <r>
      <rPr>
        <rFont val="新細明體"/>
        <b/>
        <color rgb="FF000000"/>
        <sz val="11.0"/>
      </rPr>
      <t xml:space="preserve"> </t>
    </r>
  </si>
  <si>
    <t>陛神莊園-6入木箱</t>
  </si>
  <si>
    <t>AR-EP-1001</t>
  </si>
  <si>
    <t xml:space="preserve">Vina EL Pison 2010                                        </t>
  </si>
  <si>
    <t>AR-EP-1201</t>
  </si>
  <si>
    <t xml:space="preserve">Vina EL Pison 2012                                                           </t>
  </si>
  <si>
    <t>RP97+</t>
  </si>
  <si>
    <t>AR-EP-1301</t>
  </si>
  <si>
    <t>Vina EL Pison 2013</t>
  </si>
  <si>
    <t>AR-EP-1401</t>
  </si>
  <si>
    <t>Vina EL Pison 2014</t>
  </si>
  <si>
    <t>AR-EP-1501</t>
  </si>
  <si>
    <t>Vina EL Pison 2015</t>
  </si>
  <si>
    <t>AR-EP-1601</t>
  </si>
  <si>
    <t>Vina EL Pison 2016</t>
  </si>
  <si>
    <t>AR-EP-1701</t>
  </si>
  <si>
    <t>Vina EL Pison 2017</t>
  </si>
  <si>
    <t>AR-EP-1801</t>
  </si>
  <si>
    <t>Vina EL Pison 2018</t>
  </si>
  <si>
    <t>RP99/JS99</t>
  </si>
  <si>
    <t>AR-EP-1901</t>
  </si>
  <si>
    <t>Vina EL Pison 2019</t>
  </si>
  <si>
    <t>RP98/JS99</t>
  </si>
  <si>
    <t>AR-EP-2001</t>
  </si>
  <si>
    <t>Vina EL Pison 2020</t>
  </si>
  <si>
    <t>AR-ES-1311</t>
  </si>
  <si>
    <t xml:space="preserve">EL Seque 2013                                       </t>
  </si>
  <si>
    <r>
      <rPr>
        <rFont val="PMingLiu"/>
        <b/>
        <color rgb="FF000000"/>
        <sz val="11.0"/>
      </rPr>
      <t>神谷/</t>
    </r>
    <r>
      <rPr>
        <rFont val="新細明體"/>
        <b/>
        <color rgb="FF0070C0"/>
        <sz val="11.0"/>
      </rPr>
      <t>6瓶紙箱</t>
    </r>
  </si>
  <si>
    <t>RP93+</t>
  </si>
  <si>
    <t>AR-ES-1411</t>
  </si>
  <si>
    <t>EL Seque 2014</t>
  </si>
  <si>
    <r>
      <rPr>
        <rFont val="PMingLiu"/>
        <b/>
        <color rgb="FF000000"/>
        <sz val="11.0"/>
      </rPr>
      <t>神谷/</t>
    </r>
    <r>
      <rPr>
        <rFont val="新細明體"/>
        <b/>
        <color rgb="FF0070C0"/>
        <sz val="11.0"/>
      </rPr>
      <t>6瓶紙箱</t>
    </r>
  </si>
  <si>
    <t>AR-ES-1012</t>
  </si>
  <si>
    <t xml:space="preserve">EL Seque Dulce 2010                                  </t>
  </si>
  <si>
    <r>
      <rPr>
        <rFont val="PMingLiu"/>
        <b/>
        <color rgb="FF000000"/>
        <sz val="11.0"/>
      </rPr>
      <t>神谷甜紅酒/</t>
    </r>
    <r>
      <rPr>
        <rFont val="新細明體"/>
        <b/>
        <color rgb="FF0070C0"/>
        <sz val="11.0"/>
      </rPr>
      <t>6瓶紙箱</t>
    </r>
  </si>
  <si>
    <t>AR-ES-1212</t>
  </si>
  <si>
    <r>
      <rPr>
        <rFont val="PMingLiu"/>
        <b/>
        <color theme="1"/>
        <sz val="11.0"/>
      </rPr>
      <t xml:space="preserve">EL Seque Dulce 2012 </t>
    </r>
    <r>
      <rPr>
        <rFont val="新細明體"/>
        <b/>
        <color rgb="FFFF0000"/>
        <sz val="11.0"/>
      </rPr>
      <t>375ml</t>
    </r>
  </si>
  <si>
    <r>
      <rPr>
        <rFont val="PMingLiu"/>
        <b/>
        <color rgb="FF000000"/>
        <sz val="11.0"/>
      </rPr>
      <t>神谷甜紅酒/</t>
    </r>
    <r>
      <rPr>
        <rFont val="新細明體"/>
        <b/>
        <color rgb="FF0070C0"/>
        <sz val="11.0"/>
      </rPr>
      <t>6瓶紙箱</t>
    </r>
  </si>
  <si>
    <t>AR-ES-1612</t>
  </si>
  <si>
    <t xml:space="preserve">EL Seque Dulce 2016                                </t>
  </si>
  <si>
    <r>
      <rPr>
        <rFont val="PMingLiu"/>
        <b/>
        <color rgb="FF000000"/>
        <sz val="11.0"/>
      </rPr>
      <t>神谷甜紅酒/</t>
    </r>
    <r>
      <rPr>
        <rFont val="新細明體"/>
        <b/>
        <color rgb="FF0070C0"/>
        <sz val="11.0"/>
      </rPr>
      <t>6瓶紙箱</t>
    </r>
    <r>
      <rPr>
        <rFont val="新細明體"/>
        <b/>
        <color rgb="FFFF0000"/>
        <sz val="11.0"/>
      </rPr>
      <t xml:space="preserve">     樣品</t>
    </r>
  </si>
  <si>
    <t>AR-ES-1314-SP-RO</t>
  </si>
  <si>
    <t xml:space="preserve">EL Seque Espumoso Rosado 2013                                             </t>
  </si>
  <si>
    <r>
      <rPr>
        <rFont val="PMingLiu"/>
        <b/>
        <color rgb="FF000000"/>
        <sz val="11.0"/>
      </rPr>
      <t>神谷酒莊 粉紅氣泡酒/</t>
    </r>
    <r>
      <rPr>
        <rFont val="新細明體"/>
        <b/>
        <color rgb="FF0070C0"/>
        <sz val="11.0"/>
      </rPr>
      <t>6瓶紙箱</t>
    </r>
  </si>
  <si>
    <t>AR-AZ-1522W</t>
  </si>
  <si>
    <t>Artazu-Navarra Santa Cruz de Artazu White 2015</t>
  </si>
  <si>
    <t>神塔莊園白葡萄酒</t>
  </si>
  <si>
    <t>AR-1231</t>
  </si>
  <si>
    <t xml:space="preserve">Artadi EL Carretil 2012                                     </t>
  </si>
  <si>
    <t>凱樂帝莊園-6入木箱</t>
  </si>
  <si>
    <t>AR-1431</t>
  </si>
  <si>
    <t>Artadi EL Carretil 2014</t>
  </si>
  <si>
    <t>RP94-96</t>
  </si>
  <si>
    <t>AR-1531</t>
  </si>
  <si>
    <t>Artadi EL Carretil 2015</t>
  </si>
  <si>
    <t>AR-1631</t>
  </si>
  <si>
    <t>Artadi EL Carretil 2016</t>
  </si>
  <si>
    <t>AR-1731</t>
  </si>
  <si>
    <t>Artadi EL Carretil 2017</t>
  </si>
  <si>
    <t>AR-1831</t>
  </si>
  <si>
    <t>Artadi EL Carretil 2018</t>
  </si>
  <si>
    <t>RP97+/JS96</t>
  </si>
  <si>
    <t>AR-1931</t>
  </si>
  <si>
    <t>Artadi EL Carretil 2019</t>
  </si>
  <si>
    <t>RP96+/JS99</t>
  </si>
  <si>
    <t>AR-2031</t>
  </si>
  <si>
    <t>Artadi EL Carretil 2020</t>
  </si>
  <si>
    <t>RP97/JS99</t>
  </si>
  <si>
    <t>AR-1532</t>
  </si>
  <si>
    <t>Artadi La Poze de Ballesteros 2015</t>
  </si>
  <si>
    <t>樂菩薩莊園-6入木箱</t>
  </si>
  <si>
    <t>AR-1632</t>
  </si>
  <si>
    <t>Artadi La Poze de Ballesteros 2016</t>
  </si>
  <si>
    <t>AR-1732</t>
  </si>
  <si>
    <t>Artadi La Poze de Ballesteros 2017</t>
  </si>
  <si>
    <t>AR-1832</t>
  </si>
  <si>
    <t>Artadi La Poze de Ballesteros 2018</t>
  </si>
  <si>
    <t>RP94/JS96</t>
  </si>
  <si>
    <t>AR-1932</t>
  </si>
  <si>
    <t>Artadi La Poze de Ballesteros 2019</t>
  </si>
  <si>
    <t>RP93/JS97</t>
  </si>
  <si>
    <t>AR-2032</t>
  </si>
  <si>
    <t>Artadi La Poze de Ballesteros 2020</t>
  </si>
  <si>
    <t>RP95+/JS97</t>
  </si>
  <si>
    <t>AR-1433</t>
  </si>
  <si>
    <t>Artadi Valdegines 2014</t>
  </si>
  <si>
    <t>萬帝思莊園-6入木箱</t>
  </si>
  <si>
    <t>AR-1633</t>
  </si>
  <si>
    <t>Artadi Valdegines 2016</t>
  </si>
  <si>
    <t>AR-1733</t>
  </si>
  <si>
    <t>Artadi Valdegines 2017</t>
  </si>
  <si>
    <t>AR-1833</t>
  </si>
  <si>
    <t>Artadi Valdegines 2018</t>
  </si>
  <si>
    <t>RP94+/JS95</t>
  </si>
  <si>
    <t>AR-1933</t>
  </si>
  <si>
    <t>Artadi Valdegines 2019</t>
  </si>
  <si>
    <t>AR-2033</t>
  </si>
  <si>
    <t>Artadi Valdegines 2020</t>
  </si>
  <si>
    <t>AR-2034</t>
  </si>
  <si>
    <t xml:space="preserve">ARTADI- Alava Vinas de Gain Red 2020                    </t>
  </si>
  <si>
    <r>
      <rPr>
        <rFont val="PMingLiu"/>
        <b/>
        <color rgb="FF000000"/>
        <sz val="11.0"/>
      </rPr>
      <t>帝肯莊園紅葡萄酒/</t>
    </r>
    <r>
      <rPr>
        <rFont val="新細明體"/>
        <b/>
        <color rgb="FF0070C0"/>
        <sz val="11.0"/>
      </rPr>
      <t>6瓶紙箱</t>
    </r>
  </si>
  <si>
    <t>RP92/JS94</t>
  </si>
  <si>
    <t>AR-1436</t>
  </si>
  <si>
    <t xml:space="preserve">Tempranillo by Artadi 2014                                          </t>
  </si>
  <si>
    <t>丹魄</t>
  </si>
  <si>
    <t>AR-1838</t>
  </si>
  <si>
    <t xml:space="preserve">ARTADI de San Lazaro 2018 </t>
  </si>
  <si>
    <r>
      <rPr>
        <rFont val="PMingLiu"/>
        <b/>
        <color rgb="FF000000"/>
        <sz val="11.0"/>
      </rPr>
      <t>聖樂裟莊園/</t>
    </r>
    <r>
      <rPr>
        <rFont val="新細明體"/>
        <b/>
        <color rgb="FF0070C0"/>
        <sz val="11.0"/>
      </rPr>
      <t>6瓶紙箱</t>
    </r>
  </si>
  <si>
    <t>RP97/JS97</t>
  </si>
  <si>
    <t>AR-1938</t>
  </si>
  <si>
    <t xml:space="preserve">ARTADI de San Lazaro 2019 </t>
  </si>
  <si>
    <r>
      <rPr>
        <rFont val="PMingLiu"/>
        <b/>
        <color rgb="FF000000"/>
        <sz val="11.0"/>
      </rPr>
      <t>聖樂裟莊園/</t>
    </r>
    <r>
      <rPr>
        <rFont val="新細明體"/>
        <b/>
        <color rgb="FF0070C0"/>
        <sz val="11.0"/>
      </rPr>
      <t>6瓶紙箱</t>
    </r>
  </si>
  <si>
    <t>RP97/JS96</t>
  </si>
  <si>
    <t>AR-2038</t>
  </si>
  <si>
    <t xml:space="preserve">ARTADI de San Lazaro 2020 </t>
  </si>
  <si>
    <r>
      <rPr>
        <rFont val="PMingLiu"/>
        <b/>
        <color rgb="FF000000"/>
        <sz val="11.0"/>
      </rPr>
      <t>聖樂裟莊園/</t>
    </r>
    <r>
      <rPr>
        <rFont val="新細明體"/>
        <b/>
        <color rgb="FF0070C0"/>
        <sz val="11.0"/>
      </rPr>
      <t>6瓶紙箱</t>
    </r>
  </si>
  <si>
    <t>AR-1639</t>
  </si>
  <si>
    <t>Artadi de Quintanilla 2016</t>
  </si>
  <si>
    <r>
      <rPr>
        <rFont val="PMingLiu"/>
        <b/>
        <color rgb="FF000000"/>
        <sz val="11.0"/>
      </rPr>
      <t>錦黛釀莊園/</t>
    </r>
    <r>
      <rPr>
        <rFont val="新細明體"/>
        <b/>
        <color rgb="FF0070C0"/>
        <sz val="11.0"/>
      </rPr>
      <t>6瓶紙箱</t>
    </r>
  </si>
  <si>
    <t>AR-1739</t>
  </si>
  <si>
    <t>Artadi de Quintanilla 2017</t>
  </si>
  <si>
    <r>
      <rPr>
        <rFont val="PMingLiu"/>
        <b/>
        <color rgb="FF000000"/>
        <sz val="11.0"/>
      </rPr>
      <t>錦黛釀莊園/</t>
    </r>
    <r>
      <rPr>
        <rFont val="新細明體"/>
        <b/>
        <color rgb="FF0070C0"/>
        <sz val="11.0"/>
      </rPr>
      <t>6瓶紙箱</t>
    </r>
  </si>
  <si>
    <t>AR-1839</t>
  </si>
  <si>
    <t>Artadi de Quintanilla 2018</t>
  </si>
  <si>
    <r>
      <rPr>
        <rFont val="PMingLiu"/>
        <b/>
        <color rgb="FF000000"/>
        <sz val="11.0"/>
      </rPr>
      <t>錦黛釀莊園/</t>
    </r>
    <r>
      <rPr>
        <rFont val="新細明體"/>
        <b/>
        <color rgb="FF0070C0"/>
        <sz val="11.0"/>
      </rPr>
      <t>6瓶紙箱</t>
    </r>
  </si>
  <si>
    <t>AR-1939</t>
  </si>
  <si>
    <t>Artadi de Quintanilla 2019</t>
  </si>
  <si>
    <r>
      <rPr>
        <rFont val="PMingLiu"/>
        <b/>
        <color rgb="FF000000"/>
        <sz val="11.0"/>
      </rPr>
      <t>錦黛釀莊園/</t>
    </r>
    <r>
      <rPr>
        <rFont val="新細明體"/>
        <b/>
        <color rgb="FF0070C0"/>
        <sz val="11.0"/>
      </rPr>
      <t>6瓶紙箱</t>
    </r>
  </si>
  <si>
    <t>RP93+/JS96</t>
  </si>
  <si>
    <t>AR-2039</t>
  </si>
  <si>
    <t>Artadi de Quintanilla 2020</t>
  </si>
  <si>
    <r>
      <rPr>
        <rFont val="PMingLiu"/>
        <b/>
        <color rgb="FF000000"/>
        <sz val="11.0"/>
      </rPr>
      <t>錦黛釀莊園/</t>
    </r>
    <r>
      <rPr>
        <rFont val="新細明體"/>
        <b/>
        <color rgb="FF0070C0"/>
        <sz val="11.0"/>
      </rPr>
      <t>6瓶紙箱</t>
    </r>
  </si>
  <si>
    <t>AR-2040</t>
  </si>
  <si>
    <t xml:space="preserve">ARTADI LA HOYA 2020  </t>
  </si>
  <si>
    <r>
      <rPr>
        <rFont val="PMingLiu"/>
        <b/>
        <color rgb="FF000000"/>
        <sz val="11.0"/>
      </rPr>
      <t>樂豪雅莊園/</t>
    </r>
    <r>
      <rPr>
        <rFont val="新細明體"/>
        <b/>
        <color rgb="FF0070C0"/>
        <sz val="11.0"/>
      </rPr>
      <t>6瓶紙箱</t>
    </r>
  </si>
  <si>
    <t>RP93/JS95</t>
  </si>
  <si>
    <t>AR-1135</t>
  </si>
  <si>
    <t xml:space="preserve">Artadi Vinas de Gain Bco 2011                                              </t>
  </si>
  <si>
    <r>
      <rPr>
        <rFont val="PMingLiu"/>
        <b/>
        <color rgb="FF000000"/>
        <sz val="11.0"/>
      </rPr>
      <t>帝肯莊園白葡萄酒/</t>
    </r>
    <r>
      <rPr>
        <rFont val="新細明體"/>
        <b/>
        <color rgb="FF0070C0"/>
        <sz val="11.0"/>
      </rPr>
      <t>6瓶紙箱</t>
    </r>
  </si>
  <si>
    <t>前一年RP91</t>
  </si>
  <si>
    <t>AR-1935</t>
  </si>
  <si>
    <t>Artadi Vinas de Gain Bco 2019</t>
  </si>
  <si>
    <r>
      <rPr>
        <rFont val="PMingLiu"/>
        <b/>
        <color rgb="FF000000"/>
        <sz val="11.0"/>
      </rPr>
      <t>帝肯莊園白葡萄酒/</t>
    </r>
    <r>
      <rPr>
        <rFont val="新細明體"/>
        <b/>
        <color rgb="FF0070C0"/>
        <sz val="11.0"/>
      </rPr>
      <t>6瓶紙箱</t>
    </r>
  </si>
  <si>
    <t>RP93/JS92</t>
  </si>
  <si>
    <t>AR-1337-SP</t>
  </si>
  <si>
    <t>Artadi Cava 2013</t>
  </si>
  <si>
    <r>
      <rPr>
        <rFont val="PMingLiu"/>
        <b/>
        <color rgb="FF000000"/>
        <sz val="11.0"/>
      </rPr>
      <t>卡瓦氣泡酒/</t>
    </r>
    <r>
      <rPr>
        <rFont val="新細明體"/>
        <b/>
        <color rgb="FF0070C0"/>
        <sz val="11.0"/>
      </rPr>
      <t>6瓶紙箱</t>
    </r>
  </si>
  <si>
    <t>AR-1641-SP</t>
  </si>
  <si>
    <t>Izar Leku 2016</t>
  </si>
  <si>
    <r>
      <rPr>
        <rFont val="PMingLiu"/>
        <b/>
        <color rgb="FF000000"/>
        <sz val="11.0"/>
      </rPr>
      <t>依樂祖氣泡酒/</t>
    </r>
    <r>
      <rPr>
        <rFont val="新細明體"/>
        <b/>
        <color rgb="FF0070C0"/>
        <sz val="11.0"/>
      </rPr>
      <t>6瓶紙箱</t>
    </r>
  </si>
  <si>
    <t>＊斯洛伐克</t>
  </si>
  <si>
    <t xml:space="preserve">TOKAJ-6P-06 </t>
  </si>
  <si>
    <t>Tokaj&amp;Co Tokajský Výber 6 Putňový</t>
  </si>
  <si>
    <t xml:space="preserve">6葡桶貴族萄萄酒     </t>
  </si>
  <si>
    <t xml:space="preserve">TOKAJ-SLA-06 </t>
  </si>
  <si>
    <t xml:space="preserve">Tokaj&amp;Co Tokajské Samorodné Sladké </t>
  </si>
  <si>
    <t xml:space="preserve">甜美葡萄酒 </t>
  </si>
  <si>
    <t>＊紐西蘭</t>
  </si>
  <si>
    <t>NGV-0502-RE-PN</t>
  </si>
  <si>
    <t>Reserve Pinot Noir Export 2005</t>
  </si>
  <si>
    <r>
      <rPr>
        <rFont val="PMingLiu"/>
        <b/>
        <color rgb="FF000000"/>
        <sz val="11.0"/>
      </rPr>
      <t>紐西蘭皇后葡萄酒</t>
    </r>
    <r>
      <rPr>
        <rFont val="新細明體"/>
        <b/>
        <color rgb="FFFF0000"/>
        <sz val="11.0"/>
      </rPr>
      <t>(螺旋瓶)</t>
    </r>
  </si>
  <si>
    <t>NGV-0602-RE-PN</t>
  </si>
  <si>
    <t>Reserve Pinot Noir Export 2006</t>
  </si>
  <si>
    <r>
      <rPr>
        <rFont val="PMingLiu"/>
        <b/>
        <color rgb="FF000000"/>
        <sz val="11.0"/>
      </rPr>
      <t>紐西蘭皇后葡萄酒</t>
    </r>
    <r>
      <rPr>
        <rFont val="新細明體"/>
        <b/>
        <color rgb="FFFF0000"/>
        <sz val="11.0"/>
      </rPr>
      <t>(螺旋瓶)</t>
    </r>
  </si>
  <si>
    <t>ARP-321J131A</t>
  </si>
  <si>
    <t>Marlborough Rimapere Sauvignon Blanc 2013</t>
  </si>
  <si>
    <t>馬博瑞瑪峇耶蘇維濃白酒</t>
  </si>
  <si>
    <t>＊義大利梭多</t>
  </si>
  <si>
    <t>SD-0303</t>
  </si>
  <si>
    <t>Barolo DOCG Ceretta 2003</t>
  </si>
  <si>
    <t>義大利梭多葡萄酒</t>
  </si>
  <si>
    <t>SD-0304</t>
  </si>
  <si>
    <t>Barolo DOCG Sori`Gabutti 2003</t>
  </si>
  <si>
    <t>AFB-202J101A</t>
  </si>
  <si>
    <t>Frescobaldi Castello di Nipozzano Riserva 2010</t>
  </si>
  <si>
    <t>尼波札諾精選紅酒</t>
  </si>
  <si>
    <t>AFB-202L101C</t>
  </si>
  <si>
    <t>Frescobaldi Castello di Nipozzano Riserva 2010 1.5L</t>
  </si>
  <si>
    <t>AGJ-205J101A</t>
  </si>
  <si>
    <t>Gaja sperss 2010</t>
  </si>
  <si>
    <t>義大利歌雅酒莊 巴羅拉-思沛紅酒</t>
  </si>
  <si>
    <t>＊美國酒</t>
  </si>
  <si>
    <t>ARG-0703-BR</t>
  </si>
  <si>
    <t>Brut Rose 2007</t>
  </si>
  <si>
    <t>奧勒岡州菱花酒莊粉紅氣泡酒</t>
  </si>
  <si>
    <t>ACV-301J091A</t>
  </si>
  <si>
    <t>Clos Du Val Cabernet Sauvignon Stag's Leap District 2009</t>
  </si>
  <si>
    <t>鹿躍卡本內蘇維濃紅酒</t>
  </si>
  <si>
    <t xml:space="preserve">ARA06-ME </t>
  </si>
  <si>
    <t>Columbia Crest Walter Clore Private Reserve Red 2006</t>
  </si>
  <si>
    <t>哥倫比亞山峰酒莊</t>
  </si>
  <si>
    <t>ASM-301J111A</t>
  </si>
  <si>
    <t xml:space="preserve">L'Ecole N°41 walla walla C.S 2011 </t>
  </si>
  <si>
    <t>哇啦哇啦山谷卡本內蘇維翁紅酒</t>
  </si>
  <si>
    <t>BV-09</t>
  </si>
  <si>
    <t>Beaulieu Vineyard B.V. Reserve Tapestry Napa Valley 2009</t>
  </si>
  <si>
    <t>PNC-IW-A</t>
  </si>
  <si>
    <t>Pinnacle ice apple wine</t>
  </si>
  <si>
    <t>品尼克蘋果冰酒</t>
  </si>
  <si>
    <t>＊奧勒岡州雄鷹酒莊</t>
  </si>
  <si>
    <t>DOM-0601-EV-RE</t>
  </si>
  <si>
    <t>Evenstad Reserve Pinot Noir 2006</t>
  </si>
  <si>
    <t>奧勒岡州雄鷹酒莊宜斯丹黑皮諾</t>
  </si>
  <si>
    <t>DOM-1001-EV-RE</t>
  </si>
  <si>
    <t>Evenstad reserve Pinot Noir 2010</t>
  </si>
  <si>
    <t>宜斯丹黑皮諾 2010</t>
  </si>
  <si>
    <t>WE92/WS95</t>
  </si>
  <si>
    <t>DOM-1101-EV-RE</t>
  </si>
  <si>
    <t>Evenstad reserve Pinot Noir 2011</t>
  </si>
  <si>
    <t>宜斯丹黑皮諾 2011</t>
  </si>
  <si>
    <t>WA93/WS95/WE95</t>
  </si>
  <si>
    <t>DOM-1201-EV-RE</t>
  </si>
  <si>
    <t>Evenstad reserve Pinot Noir 2012</t>
  </si>
  <si>
    <t>宜斯丹黑皮諾 2012</t>
  </si>
  <si>
    <t>RP93</t>
  </si>
  <si>
    <t>DOM-1301-EV-RE</t>
  </si>
  <si>
    <t>Evenstad reserve Pinot Noir 2013</t>
  </si>
  <si>
    <t xml:space="preserve">宜斯丹黑皮諾 2013 </t>
  </si>
  <si>
    <t>WS91/WE92/RP90</t>
  </si>
  <si>
    <t>DOM-1401-EV-RE</t>
  </si>
  <si>
    <t>Evenstad reserve Pinot Noir 2014</t>
  </si>
  <si>
    <r>
      <rPr>
        <rFont val="PMingLiu"/>
        <b/>
        <color rgb="FF000000"/>
        <sz val="11.0"/>
      </rPr>
      <t>宜斯丹黑皮諾 2014/</t>
    </r>
    <r>
      <rPr>
        <rFont val="新細明體"/>
        <b/>
        <color rgb="FF0070C0"/>
        <sz val="11.0"/>
      </rPr>
      <t>6瓶紙箱</t>
    </r>
  </si>
  <si>
    <t>WS92/WE9</t>
  </si>
  <si>
    <t>DOM-1601-EV-RE</t>
  </si>
  <si>
    <t>Evenstad reserve Pinot Noir 2016</t>
  </si>
  <si>
    <r>
      <rPr>
        <rFont val="PMingLiu"/>
        <b/>
        <color rgb="FF000000"/>
        <sz val="11.0"/>
      </rPr>
      <t>宜斯丹黑皮諾 2016/</t>
    </r>
    <r>
      <rPr>
        <rFont val="新細明體"/>
        <b/>
        <color rgb="FF0070C0"/>
        <sz val="11.0"/>
      </rPr>
      <t>6瓶紙箱</t>
    </r>
  </si>
  <si>
    <t>JS95 /RP93+/93</t>
  </si>
  <si>
    <t>DOM-1701-EV-RE</t>
  </si>
  <si>
    <r>
      <rPr>
        <rFont val="PMingLiu"/>
        <b/>
        <color rgb="FF000000"/>
        <sz val="11.0"/>
      </rPr>
      <t>Evenstad reserve Pinot Noir 2017</t>
    </r>
  </si>
  <si>
    <r>
      <rPr>
        <rFont val="PMingLiu"/>
        <b/>
        <color rgb="FF000000"/>
        <sz val="11.0"/>
      </rPr>
      <t>宜斯丹黑皮諾 2017/</t>
    </r>
    <r>
      <rPr>
        <rFont val="新細明體"/>
        <b/>
        <color rgb="FF0070C0"/>
        <sz val="11.0"/>
      </rPr>
      <t>6瓶紙箱</t>
    </r>
  </si>
  <si>
    <t>JS96 /RP93+/WS93</t>
  </si>
  <si>
    <t>DOM-0705-YC-PN</t>
  </si>
  <si>
    <t>Yamhill Cuvee PN 2007</t>
  </si>
  <si>
    <t>奧勒岡州雄鷹酒莊葉丘高級黑皮諾</t>
  </si>
  <si>
    <t>DOM-1205-YC-PN</t>
  </si>
  <si>
    <t>Yamhill Cuvee PN 2012</t>
  </si>
  <si>
    <t>DOM-1305-YC-PN</t>
  </si>
  <si>
    <t>Yamhill Cuvee PN 2013</t>
  </si>
  <si>
    <t>WS913/RP91
WE92</t>
  </si>
  <si>
    <t>DOM-1405-YC-PN</t>
  </si>
  <si>
    <t>Yamhill Cuvee PN 2014</t>
  </si>
  <si>
    <t>DOM-1605-YC-PN</t>
  </si>
  <si>
    <t>Yamhill Cuvee PN 2016</t>
  </si>
  <si>
    <t>JS93/RP94/WS92</t>
  </si>
  <si>
    <t>DOM-1705-YC-PN</t>
  </si>
  <si>
    <t>Yamhill Cuvee PN 2017</t>
  </si>
  <si>
    <t>JS93/RP92/WS90</t>
  </si>
  <si>
    <t>DOM-0807-JH-PN</t>
  </si>
  <si>
    <t>Jerusalem Hill PN 2008</t>
  </si>
  <si>
    <t>奧勒岡州雄鷹酒莊耶路撒冷黑皮諾</t>
  </si>
  <si>
    <t>DOM-0907-JH-PN</t>
  </si>
  <si>
    <t>Jerusalem Hill PN 2009</t>
  </si>
  <si>
    <t>WA92/WS92/WE91</t>
  </si>
  <si>
    <t>DOM-1307-JH-PN</t>
  </si>
  <si>
    <t>Jerusalem Hill PN 2013</t>
  </si>
  <si>
    <t>DOM-1707-JH-PN</t>
  </si>
  <si>
    <t>Jerusalem Hill PN 2017</t>
  </si>
  <si>
    <t>JS94/RP91/WS94</t>
  </si>
  <si>
    <t>DOM-0808-GV-PN</t>
  </si>
  <si>
    <t>Grace Vineyard PN 2008</t>
  </si>
  <si>
    <t>奧勒岡州雄鷹酒莊葛莉絲黑皮諾</t>
  </si>
  <si>
    <t>WS97/RP94</t>
  </si>
  <si>
    <t>各保留2瓶</t>
  </si>
  <si>
    <t>DOM-0908-GV-PN</t>
  </si>
  <si>
    <t>Grace Vineyard PN 2009</t>
  </si>
  <si>
    <t>DOM-1008-GV-PN</t>
  </si>
  <si>
    <t>Grace Vineyard PN 2010</t>
  </si>
  <si>
    <t>DOM-1108-GV-PN</t>
  </si>
  <si>
    <t>Grace Vineyard PN 2011</t>
  </si>
  <si>
    <r>
      <rPr>
        <rFont val="PMingLiu"/>
        <b/>
        <color rgb="FF000000"/>
        <sz val="11.0"/>
      </rPr>
      <t>奧勒岡州雄鷹酒莊葛莉絲黑皮諾/</t>
    </r>
    <r>
      <rPr>
        <rFont val="新細明體"/>
        <b/>
        <color rgb="FF0070C0"/>
        <sz val="11.0"/>
      </rPr>
      <t>6瓶紙箱</t>
    </r>
  </si>
  <si>
    <t>DOM-1208-GV-PN</t>
  </si>
  <si>
    <t>Grace Vineyard PN 2012</t>
  </si>
  <si>
    <r>
      <rPr>
        <rFont val="PMingLiu"/>
        <b/>
        <color rgb="FF000000"/>
        <sz val="11.0"/>
      </rPr>
      <t>奧勒岡州雄鷹酒莊葛莉絲黑皮諾/</t>
    </r>
    <r>
      <rPr>
        <rFont val="新細明體"/>
        <b/>
        <color rgb="FF0070C0"/>
        <sz val="11.0"/>
      </rPr>
      <t>6瓶紙箱</t>
    </r>
  </si>
  <si>
    <t>DOM-1308-GV-PN</t>
  </si>
  <si>
    <t>Grace Vineyard PN 2013</t>
  </si>
  <si>
    <r>
      <rPr>
        <rFont val="PMingLiu"/>
        <b/>
        <color rgb="FF000000"/>
        <sz val="11.0"/>
      </rPr>
      <t>奧勒岡州雄鷹酒莊葛莉絲黑皮諾/</t>
    </r>
    <r>
      <rPr>
        <rFont val="新細明體"/>
        <b/>
        <color rgb="FF0070C0"/>
        <sz val="11.0"/>
      </rPr>
      <t>6瓶紙箱</t>
    </r>
  </si>
  <si>
    <t>DOM-1708-GV-PN</t>
  </si>
  <si>
    <t>Grace Vineyard PN 2017</t>
  </si>
  <si>
    <r>
      <rPr>
        <rFont val="PMingLiu"/>
        <b/>
        <color rgb="FF000000"/>
        <sz val="11.0"/>
      </rPr>
      <t>奧勒岡州雄鷹酒莊葛莉絲黑皮諾/</t>
    </r>
    <r>
      <rPr>
        <rFont val="新細明體"/>
        <b/>
        <color rgb="FF0070C0"/>
        <sz val="11.0"/>
      </rPr>
      <t>6瓶紙箱</t>
    </r>
  </si>
  <si>
    <t>JS94/WS94</t>
  </si>
  <si>
    <t>DOM-1309-RE-CH</t>
  </si>
  <si>
    <t>Evenstad Reserve Chardonnay 2013</t>
  </si>
  <si>
    <t>奧勒岡州雄鷹酒莊宜斯丹夏多內白葡萄酒</t>
  </si>
  <si>
    <t>RP90/WS93/JS95</t>
  </si>
  <si>
    <t>DOM-1409-RE-CH</t>
  </si>
  <si>
    <t>Evenstad Reserve Chardonnay 2014</t>
  </si>
  <si>
    <t>WS95/WE93</t>
  </si>
  <si>
    <t>DOM-1509-RE-CH</t>
  </si>
  <si>
    <t>Evenstad Reserve Chardonnay 2015</t>
  </si>
  <si>
    <r>
      <rPr>
        <rFont val="PMingLiu"/>
        <b/>
        <color rgb="FF000000"/>
        <sz val="11.0"/>
      </rPr>
      <t>奧勒岡州雄鷹酒莊宜斯丹夏多內白葡萄酒/</t>
    </r>
    <r>
      <rPr>
        <rFont val="新細明體"/>
        <b/>
        <color rgb="FF0070C0"/>
        <sz val="11.0"/>
      </rPr>
      <t>6瓶紙箱</t>
    </r>
  </si>
  <si>
    <t>Ddecander銀牌獎/舊金山銀牌獎</t>
  </si>
  <si>
    <t>未報</t>
  </si>
  <si>
    <t>DOM-1609-RE-CH</t>
  </si>
  <si>
    <t>Evenstad Reserve Chardonnay 2016</t>
  </si>
  <si>
    <r>
      <rPr>
        <rFont val="PMingLiu"/>
        <b/>
        <color rgb="FF000000"/>
        <sz val="11.0"/>
      </rPr>
      <t>奧勒岡州雄鷹酒莊宜斯丹夏多內白葡萄酒/</t>
    </r>
    <r>
      <rPr>
        <rFont val="新細明體"/>
        <b/>
        <color rgb="FF0070C0"/>
        <sz val="11.0"/>
      </rPr>
      <t>6瓶紙箱</t>
    </r>
  </si>
  <si>
    <t>WE95</t>
  </si>
  <si>
    <t>DOM-1709-RE-CH</t>
  </si>
  <si>
    <t>Evenstad Reserve Chardonnay 2017</t>
  </si>
  <si>
    <r>
      <rPr>
        <rFont val="PMingLiu"/>
        <b/>
        <color rgb="FF000000"/>
        <sz val="11.0"/>
      </rPr>
      <t>奧勒岡州雄鷹酒莊宜斯丹夏多內白葡萄酒/</t>
    </r>
    <r>
      <rPr>
        <rFont val="新細明體"/>
        <b/>
        <color rgb="FF0070C0"/>
        <sz val="11.0"/>
      </rPr>
      <t>6瓶紙箱</t>
    </r>
  </si>
  <si>
    <t>JS94/RP93/WS92</t>
  </si>
  <si>
    <t>DOM-1809-RE-CH</t>
  </si>
  <si>
    <t>Evenstad Reserve Chardonnay 2018</t>
  </si>
  <si>
    <r>
      <rPr>
        <rFont val="PMingLiu"/>
        <b/>
        <color rgb="FF000000"/>
        <sz val="11.0"/>
      </rPr>
      <t>奧勒岡州雄鷹酒莊宜斯丹夏多內白葡萄酒/</t>
    </r>
    <r>
      <rPr>
        <rFont val="新細明體"/>
        <b/>
        <color rgb="FF0070C0"/>
        <sz val="11.0"/>
      </rPr>
      <t>6瓶紙箱</t>
    </r>
  </si>
  <si>
    <t>JS96/RP93/WS91</t>
  </si>
  <si>
    <t>DOM-1712-TB-PN</t>
  </si>
  <si>
    <t>Two Barns Pinot Noir 2017</t>
  </si>
  <si>
    <t>奧勒岡州雄鷹酒莊雙穀園黑皮諾</t>
  </si>
  <si>
    <t>JS93/WS93</t>
  </si>
  <si>
    <t>WV-13-PN</t>
  </si>
  <si>
    <t>Willamette Valley Oregon Whole Cluster Pinot Noir 2013</t>
  </si>
  <si>
    <t>威拉米特山谷，俄勒岡州黑皮諾</t>
  </si>
  <si>
    <t>＊奧勒岡州麋鹿酒莊</t>
  </si>
  <si>
    <t>ELK-0804-LB-PN</t>
  </si>
  <si>
    <t>Pinot Noir La boheme 2008</t>
  </si>
  <si>
    <t>奧勒岡州糜鹿酒莊拉布漢黑皮諾</t>
  </si>
  <si>
    <t>RP91/WS91</t>
  </si>
  <si>
    <t>ELK-0805-PN-RT</t>
  </si>
  <si>
    <t>Pinot Noir Roosevelt 2008</t>
  </si>
  <si>
    <t>奧勒岡州麋鹿酒莊羅斯福黑皮諾</t>
  </si>
  <si>
    <t>WS93/RP91</t>
  </si>
  <si>
    <t>＊奧勒岡州神馬酒莊</t>
  </si>
  <si>
    <t>FIR-0004-CI-PN</t>
  </si>
  <si>
    <t>Citation Oregon Pinot Noir</t>
  </si>
  <si>
    <t>奧勒岡州神馬酒莊旗艦黑皮諾</t>
  </si>
  <si>
    <t>FIR-0204-CI-PN</t>
  </si>
  <si>
    <t>Citation Pinot Noir 2002</t>
  </si>
  <si>
    <t>WE87</t>
  </si>
  <si>
    <t>FIR-0505-CA-X</t>
  </si>
  <si>
    <t>Cayalla Columbia Valley</t>
  </si>
  <si>
    <t>奧勒岡州神馬酒莊凱爾紅酒</t>
  </si>
  <si>
    <t>FIR-0702-PG</t>
  </si>
  <si>
    <t>Firesteed Oregon Pinot Gris</t>
  </si>
  <si>
    <t>奧勒岡州神馬酒莊精選灰皮諾</t>
  </si>
  <si>
    <t>FIR-1202-PG</t>
  </si>
  <si>
    <t>Firesteed Pinot Gris 2012</t>
  </si>
  <si>
    <t>奧勒岡州神馬酒莊精選灰皮諾白酒</t>
  </si>
  <si>
    <t>FIR-0703-PN</t>
  </si>
  <si>
    <t>Firesteed Oregon Pinot Noir</t>
  </si>
  <si>
    <t>奧勒岡州神馬酒莊精選黑皮諾</t>
  </si>
  <si>
    <t>＊美國魔雷酒莊</t>
  </si>
  <si>
    <t>MOR-1102-CS</t>
  </si>
  <si>
    <t>Morlet Estate,Cabernet Sauvignon 2011</t>
  </si>
  <si>
    <r>
      <rPr>
        <rFont val="PMingLiu"/>
        <b/>
        <color rgb="FF000000"/>
        <sz val="11.0"/>
      </rPr>
      <t>魔雷聖殿蘇維翁紅酒/</t>
    </r>
    <r>
      <rPr>
        <rFont val="新細明體"/>
        <b/>
        <color rgb="FF0070C0"/>
        <sz val="11.0"/>
      </rPr>
      <t>6瓶紙箱</t>
    </r>
  </si>
  <si>
    <t>MOR-1103-CS.CF</t>
  </si>
  <si>
    <t>Coeur de Vallee,Cabernet Sauvignon 2011</t>
  </si>
  <si>
    <r>
      <rPr>
        <rFont val="PMingLiu"/>
        <b/>
        <color rgb="FF000000"/>
        <sz val="11.0"/>
      </rPr>
      <t>心之谷蘇維翁紅酒/</t>
    </r>
    <r>
      <rPr>
        <rFont val="新細明體"/>
        <b/>
        <color rgb="FF0070C0"/>
        <sz val="11.0"/>
      </rPr>
      <t>6瓶紙箱</t>
    </r>
  </si>
  <si>
    <t>RP94</t>
  </si>
  <si>
    <t>MOR-1201-CF</t>
  </si>
  <si>
    <t>Force De La Nature 2012</t>
  </si>
  <si>
    <r>
      <rPr>
        <rFont val="PMingLiu"/>
        <b/>
        <color rgb="FF000000"/>
        <sz val="11.0"/>
      </rPr>
      <t>鬼斧神工卡本內弗朗紅酒/</t>
    </r>
    <r>
      <rPr>
        <rFont val="新細明體"/>
        <b/>
        <color rgb="FF0070C0"/>
        <sz val="11.0"/>
      </rPr>
      <t>6瓶紙箱</t>
    </r>
  </si>
  <si>
    <t>MOR-1205-PN</t>
  </si>
  <si>
    <t>Coteaux Nobles,Sonoma Coast,Pinot Noir 2012</t>
  </si>
  <si>
    <r>
      <rPr>
        <rFont val="PMingLiu"/>
        <b/>
        <color rgb="FF000000"/>
        <sz val="11.0"/>
      </rPr>
      <t>聖山貴族黑皮諾紅酒/</t>
    </r>
    <r>
      <rPr>
        <rFont val="新細明體"/>
        <b/>
        <color rgb="FF0070C0"/>
        <sz val="11.0"/>
      </rPr>
      <t>6瓶紙箱</t>
    </r>
  </si>
  <si>
    <t>MOR-1306-SH</t>
  </si>
  <si>
    <t>Bouquet Garni,Syrah 2013</t>
  </si>
  <si>
    <r>
      <rPr>
        <rFont val="PMingLiu"/>
        <b/>
        <color rgb="FF000000"/>
        <sz val="11.0"/>
      </rPr>
      <t>愛的盛宴希哈紅酒</t>
    </r>
    <r>
      <rPr>
        <rFont val="新細明體"/>
        <b/>
        <color rgb="FF000000"/>
        <sz val="11.0"/>
      </rPr>
      <t>/</t>
    </r>
    <r>
      <rPr>
        <rFont val="新細明體"/>
        <b/>
        <color rgb="FF0070C0"/>
        <sz val="11.0"/>
      </rPr>
      <t>6瓶紙箱</t>
    </r>
  </si>
  <si>
    <t>RP96</t>
  </si>
  <si>
    <t>MOR-1311-CH</t>
  </si>
  <si>
    <t>Coup de Coeur,Chardonnay 2013</t>
  </si>
  <si>
    <r>
      <rPr>
        <rFont val="PMingLiu"/>
        <b/>
        <color rgb="FF000000"/>
        <sz val="11.0"/>
      </rPr>
      <t>小鹿亂撞夏多內白葡萄酒/</t>
    </r>
    <r>
      <rPr>
        <rFont val="新細明體"/>
        <b/>
        <color rgb="FF0070C0"/>
        <sz val="11.0"/>
      </rPr>
      <t>6瓶紙箱</t>
    </r>
  </si>
  <si>
    <t>RP99</t>
  </si>
  <si>
    <t>MOR-1312-CH</t>
  </si>
  <si>
    <t>Ma Princesse,Chardonnay 2013</t>
  </si>
  <si>
    <r>
      <rPr>
        <rFont val="PMingLiu"/>
        <b/>
        <color theme="1"/>
        <sz val="11.0"/>
      </rPr>
      <t>公主陛下夏多內白葡萄酒/</t>
    </r>
    <r>
      <rPr>
        <rFont val="新細明體"/>
        <b/>
        <color rgb="FF0070C0"/>
        <sz val="11.0"/>
      </rPr>
      <t>6瓶紙箱</t>
    </r>
  </si>
  <si>
    <t>MOR-1313-CH</t>
  </si>
  <si>
    <t>Ma Douce,Chardonnay 2013</t>
  </si>
  <si>
    <r>
      <rPr>
        <rFont val="PMingLiu"/>
        <b/>
        <color rgb="FF000000"/>
        <sz val="11.0"/>
      </rPr>
      <t>甜蜜微風夏多內白葡萄酒/</t>
    </r>
    <r>
      <rPr>
        <rFont val="新細明體"/>
        <b/>
        <color rgb="FF0070C0"/>
        <sz val="11.0"/>
      </rPr>
      <t>6瓶紙箱</t>
    </r>
  </si>
  <si>
    <t>MOR-1314-SE.SB</t>
  </si>
  <si>
    <t>La Proportion Doree 2013</t>
  </si>
  <si>
    <r>
      <rPr>
        <rFont val="PMingLiu"/>
        <b/>
        <color rgb="FF0C0C0C"/>
        <sz val="11.0"/>
      </rPr>
      <t>黃金比例白葡萄酒/</t>
    </r>
    <r>
      <rPr>
        <rFont val="新細明體"/>
        <b/>
        <color rgb="FF0070C0"/>
        <sz val="11.0"/>
      </rPr>
      <t>6瓶紙箱</t>
    </r>
  </si>
  <si>
    <t>＊美國膜拜酒 布蘭琪</t>
  </si>
  <si>
    <t>BE-001-13</t>
  </si>
  <si>
    <t>PRINCE OF HEARTS 2013</t>
  </si>
  <si>
    <t>王子之心</t>
  </si>
  <si>
    <t>RP90</t>
  </si>
  <si>
    <t>BE-002-13</t>
  </si>
  <si>
    <t>BLANKIET ESTATE PROPRIETARY-PARADISE HILL 2013</t>
  </si>
  <si>
    <r>
      <rPr>
        <rFont val="PMingLiu"/>
        <b/>
        <color rgb="FF000000"/>
        <sz val="11.0"/>
      </rPr>
      <t>布蘭琪莊園-天堂之丘/</t>
    </r>
    <r>
      <rPr>
        <rFont val="新細明體"/>
        <b/>
        <color rgb="FF0070C0"/>
        <sz val="11.0"/>
      </rPr>
      <t>6瓶紙箱</t>
    </r>
  </si>
  <si>
    <t>BE-003-13</t>
  </si>
  <si>
    <t>MYTHICVS 2013</t>
  </si>
  <si>
    <r>
      <rPr>
        <rFont val="PMingLiu"/>
        <b/>
        <color rgb="FF000000"/>
        <sz val="11.0"/>
      </rPr>
      <t>天堂神話/</t>
    </r>
    <r>
      <rPr>
        <rFont val="新細明體"/>
        <b/>
        <color rgb="FF0070C0"/>
        <sz val="11.0"/>
      </rPr>
      <t>6瓶紙箱</t>
    </r>
  </si>
  <si>
    <t>RP96+</t>
  </si>
  <si>
    <t>＊美國圓桌傳奇酒莊</t>
  </si>
  <si>
    <t>CI-1502-PN</t>
  </si>
  <si>
    <t>Citation Willamette Valley Pinot Noir 2015</t>
  </si>
  <si>
    <r>
      <rPr>
        <rFont val="PMingLiu"/>
        <b/>
        <color theme="1"/>
        <sz val="11.0"/>
      </rPr>
      <t>藍斯洛黑皮諾紅葡萄酒/</t>
    </r>
    <r>
      <rPr>
        <rFont val="新細明體"/>
        <b/>
        <color rgb="FF0070C0"/>
        <sz val="11.0"/>
      </rPr>
      <t>6瓶紙箱</t>
    </r>
  </si>
  <si>
    <t>CI-1704-PN</t>
  </si>
  <si>
    <t>Centerstone Willamette Valley Pinot Noir 2017</t>
  </si>
  <si>
    <t>石中劍黑皮諾紅葡萄酒</t>
  </si>
  <si>
    <t>CI-1403-CH</t>
  </si>
  <si>
    <t>Citation Oregon Chardonnay 2014</t>
  </si>
  <si>
    <r>
      <rPr>
        <rFont val="PMingLiu"/>
        <b/>
        <color rgb="FF000000"/>
        <sz val="11.0"/>
      </rPr>
      <t>梅林夏多內白葡萄酒/</t>
    </r>
    <r>
      <rPr>
        <rFont val="新細明體"/>
        <b/>
        <color rgb="FF0070C0"/>
        <sz val="11.0"/>
      </rPr>
      <t>6瓶紙箱</t>
    </r>
  </si>
  <si>
    <t>CI-1705-CH</t>
  </si>
  <si>
    <t>Centerstone Willamette Valley Un-Oaked CH. 2017</t>
  </si>
  <si>
    <t>石中劍夏多內白葡萄酒</t>
  </si>
  <si>
    <t>＊美國藍月酒莊</t>
  </si>
  <si>
    <t>LA-1704-CS</t>
  </si>
  <si>
    <t>Lapis Luna Cabernet Sauvignon 2017</t>
  </si>
  <si>
    <t>知行合一蘇維翁紅葡萄酒</t>
  </si>
  <si>
    <t>LA-1802-CH</t>
  </si>
  <si>
    <t>Lapis Luna Chardonnay 2018</t>
  </si>
  <si>
    <t>知往鑒今夏多內白葡萄酒</t>
  </si>
  <si>
    <t>LA-1901-SB</t>
  </si>
  <si>
    <t>Lapis Luna Sauvignon Blanc 2019</t>
  </si>
  <si>
    <t xml:space="preserve">知足常樂白蘇維翁葡萄酒       </t>
  </si>
  <si>
    <t>＊德國甜白</t>
  </si>
  <si>
    <t>JD-1501-UR-KAB</t>
  </si>
  <si>
    <t>URZIGER SCHW ARZLAY RIESLING KABINETT 20015</t>
  </si>
  <si>
    <t>烏格莊園紅點頂級甜白葡萄酒</t>
  </si>
  <si>
    <t>JD-2305-PI-AUS</t>
  </si>
  <si>
    <t>PIESPORTER MICHELSBERG RIESLING AUSLESE 2023</t>
  </si>
  <si>
    <r>
      <rPr>
        <rFont val="PMingLiu"/>
        <b/>
        <color rgb="FF000000"/>
        <sz val="11.0"/>
      </rPr>
      <t>花漾城堡皇后鑽石勳章頂級甜白酒</t>
    </r>
    <r>
      <rPr>
        <rFont val="新細明體"/>
        <b/>
        <color rgb="FFFF0000"/>
        <sz val="11.0"/>
      </rPr>
      <t>(螺旋瓶)</t>
    </r>
  </si>
  <si>
    <t>410         390</t>
  </si>
  <si>
    <t>11+1      33+3</t>
  </si>
  <si>
    <t>JD-1606-RH-KAB</t>
  </si>
  <si>
    <t>RHEINHESSEN KABINETT 2016</t>
  </si>
  <si>
    <t>萊茵河喬夫莊園紫銀勳章精選甜白</t>
  </si>
  <si>
    <t>JD-1911-SP</t>
  </si>
  <si>
    <t>Sparkling-Sweet/Splendid 2019</t>
  </si>
  <si>
    <t xml:space="preserve">德國璀璨歲月甜白氣泡酒 </t>
  </si>
  <si>
    <t>JD-2211-SP</t>
  </si>
  <si>
    <t>Sparkling-Sweet/Splendid 2022</t>
  </si>
  <si>
    <t>JD-1712-SP</t>
  </si>
  <si>
    <t xml:space="preserve">Sparkling Red-Sweet/La Comtess 2017    </t>
  </si>
  <si>
    <t>德國康蒂囍紅葡萄甜氣泡酒</t>
  </si>
  <si>
    <t>JD-1912-SP</t>
  </si>
  <si>
    <t>Sparkling Red-Sweet/La Comtess 2019</t>
  </si>
  <si>
    <t>JD-1713-SP</t>
  </si>
  <si>
    <t>Sparkling-Brut/Chanceux 2017</t>
  </si>
  <si>
    <t>德國香榭大道白中白氣泡酒</t>
  </si>
  <si>
    <t>JD-1913-SP</t>
  </si>
  <si>
    <t>Sparkling-Brut/Chanceux 2019</t>
  </si>
  <si>
    <t>JD-2213-SP</t>
  </si>
  <si>
    <t>Sparkling-Brut/Chanceux 2022</t>
  </si>
  <si>
    <t>JD-1914-SP</t>
  </si>
  <si>
    <t xml:space="preserve">Sparkling Wine-extra dry/Joh. Bapt. Dietrich 2019 </t>
  </si>
  <si>
    <t>德國JBD1858 頂級麗絲玲微甜氣泡酒</t>
  </si>
  <si>
    <t>JD-1821-QBA</t>
  </si>
  <si>
    <t xml:space="preserve">Mosel Riesling Qba dry/Schloss Koblenz CAP 2018   </t>
  </si>
  <si>
    <r>
      <rPr>
        <rFont val="PMingLiu"/>
        <b/>
        <color rgb="FF000000"/>
        <sz val="11.0"/>
      </rPr>
      <t>科布倫茲堡麗絲玲白葡萄酒</t>
    </r>
    <r>
      <rPr>
        <rFont val="新細明體"/>
        <b/>
        <color rgb="FFFF0000"/>
        <sz val="11.0"/>
      </rPr>
      <t>(螺旋瓶)</t>
    </r>
  </si>
  <si>
    <t>JD-2221-QBA</t>
  </si>
  <si>
    <t>Mosel Riesling Qba dry/Schloss Koblenz CAP 2022</t>
  </si>
  <si>
    <r>
      <rPr>
        <rFont val="PMingLiu"/>
        <b/>
        <color rgb="FF000000"/>
        <sz val="11.0"/>
      </rPr>
      <t>科布倫茲堡麗絲玲白葡萄酒</t>
    </r>
    <r>
      <rPr>
        <rFont val="新細明體"/>
        <b/>
        <color rgb="FFFF0000"/>
        <sz val="11.0"/>
      </rPr>
      <t>(螺旋瓶)</t>
    </r>
  </si>
  <si>
    <t>350     330</t>
  </si>
  <si>
    <t>11+1             33+3</t>
  </si>
  <si>
    <t>JD-2222-JD-KAB</t>
  </si>
  <si>
    <t>Gewurztraminer Kabinett/J. Drathen label  2022</t>
  </si>
  <si>
    <r>
      <rPr>
        <rFont val="PMingLiu"/>
        <b/>
        <color rgb="FF000000"/>
        <sz val="11.0"/>
      </rPr>
      <t>格烏茲塔明那微甜白葡萄酒</t>
    </r>
    <r>
      <rPr>
        <rFont val="新細明體"/>
        <b/>
        <color rgb="FFFF0000"/>
        <sz val="11.0"/>
      </rPr>
      <t>(螺旋瓶)</t>
    </r>
  </si>
  <si>
    <t>390         370</t>
  </si>
  <si>
    <t>11+1     33+3</t>
  </si>
  <si>
    <t>JD-2322-JD-KAB</t>
  </si>
  <si>
    <t>Gewurztraminer Kabinett/J. Drathen label  2023</t>
  </si>
  <si>
    <r>
      <rPr>
        <rFont val="PMingLiu"/>
        <b/>
        <color rgb="FF000000"/>
        <sz val="11.0"/>
      </rPr>
      <t>格烏茲塔明那微甜白葡萄酒</t>
    </r>
    <r>
      <rPr>
        <rFont val="新細明體"/>
        <b/>
        <color rgb="FFFF0000"/>
        <sz val="11.0"/>
      </rPr>
      <t>(螺旋瓶)</t>
    </r>
  </si>
  <si>
    <t>390
370</t>
  </si>
  <si>
    <t>11+1
33+3</t>
  </si>
  <si>
    <t>DOMD-1310</t>
  </si>
  <si>
    <t>HochheimerDomdechaneyRieslingSpätlese 2012</t>
  </si>
  <si>
    <t>德國大主教晚摘甜白酒</t>
  </si>
  <si>
    <t>＊阿根廷</t>
  </si>
  <si>
    <t>GCA-1701-MA</t>
  </si>
  <si>
    <t>Amalaya Malbec Gran Corte 2017</t>
  </si>
  <si>
    <r>
      <rPr>
        <rFont val="PMingLiu"/>
        <b/>
        <color rgb="FF000000"/>
        <sz val="11.0"/>
      </rPr>
      <t>聖堂奇蹟紅葡萄酒/</t>
    </r>
    <r>
      <rPr>
        <rFont val="新細明體"/>
        <b/>
        <color rgb="FF0070C0"/>
        <sz val="11.0"/>
      </rPr>
      <t>6瓶紙箱</t>
    </r>
  </si>
  <si>
    <t>JS93/RP90
Tim Atkin92
Decanter92銀牌</t>
  </si>
  <si>
    <t>GCA-2101-MA</t>
  </si>
  <si>
    <t>Amalaya Malbec Gran Corte 2021</t>
  </si>
  <si>
    <r>
      <rPr>
        <rFont val="PMingLiu"/>
        <b/>
        <color rgb="FF000000"/>
        <sz val="11.0"/>
      </rPr>
      <t>聖堂奇蹟紅葡萄酒/</t>
    </r>
    <r>
      <rPr>
        <rFont val="新細明體"/>
        <b/>
        <color rgb="FF0070C0"/>
        <sz val="11.0"/>
      </rPr>
      <t>6瓶紙箱</t>
    </r>
  </si>
  <si>
    <t>GCA-1902-MA</t>
  </si>
  <si>
    <t>Amalaya Malbec 2019</t>
  </si>
  <si>
    <r>
      <rPr>
        <rFont val="PMingLiu"/>
        <b/>
        <color rgb="FF000000"/>
        <sz val="11.0"/>
      </rPr>
      <t>奇蹟馬貝克紅葡萄酒/</t>
    </r>
    <r>
      <rPr>
        <rFont val="新細明體"/>
        <b/>
        <color rgb="FF0070C0"/>
        <sz val="11.0"/>
      </rPr>
      <t>6瓶紙箱</t>
    </r>
  </si>
  <si>
    <t>JS92
Decanter97
白金獎</t>
  </si>
  <si>
    <t>GCA-1305-MA</t>
  </si>
  <si>
    <r>
      <rPr>
        <rFont val="PMingLiu"/>
        <b/>
        <color theme="1"/>
        <sz val="11.0"/>
      </rPr>
      <t xml:space="preserve">Amalaya Corte Unico 2013  </t>
    </r>
    <r>
      <rPr>
        <rFont val="新細明體"/>
        <b/>
        <color rgb="FFFF0000"/>
        <sz val="11.0"/>
      </rPr>
      <t>樣品</t>
    </r>
  </si>
  <si>
    <t>聖殿奇蹟馬貝克葡萄酒</t>
  </si>
  <si>
    <t>GCA-1705-MA</t>
  </si>
  <si>
    <t>Amalaya Corte Unico 2017</t>
  </si>
  <si>
    <r>
      <rPr>
        <rFont val="PMingLiu"/>
        <b/>
        <color rgb="FF000000"/>
        <sz val="11.0"/>
      </rPr>
      <t>聖殿奇蹟馬貝克葡萄酒/</t>
    </r>
    <r>
      <rPr>
        <rFont val="新細明體"/>
        <b/>
        <color rgb="FF0070C0"/>
        <sz val="11.0"/>
      </rPr>
      <t>6瓶紙箱</t>
    </r>
  </si>
  <si>
    <t>Descorchados 93</t>
  </si>
  <si>
    <t>GCA-2105-MA</t>
  </si>
  <si>
    <t>Amalaya Corte Unico 2021</t>
  </si>
  <si>
    <r>
      <rPr>
        <rFont val="PMingLiu"/>
        <b/>
        <color rgb="FF000000"/>
        <sz val="11.0"/>
      </rPr>
      <t>聖殿奇蹟馬貝克葡萄酒/</t>
    </r>
    <r>
      <rPr>
        <rFont val="新細明體"/>
        <b/>
        <color rgb="FF0070C0"/>
        <sz val="11.0"/>
      </rPr>
      <t>6瓶紙箱</t>
    </r>
  </si>
  <si>
    <t>GCA-1904-SP</t>
  </si>
  <si>
    <t>Amalaya Burt Natur-Sparkling NV</t>
  </si>
  <si>
    <r>
      <rPr>
        <rFont val="PMingLiu"/>
        <b/>
        <color rgb="FF000000"/>
        <sz val="11.0"/>
      </rPr>
      <t>夢幻奇蹟氣泡酒/</t>
    </r>
    <r>
      <rPr>
        <rFont val="新細明體"/>
        <b/>
        <color rgb="FF0070C0"/>
        <sz val="11.0"/>
      </rPr>
      <t>6瓶紙箱</t>
    </r>
  </si>
  <si>
    <t>JS88/RP87</t>
  </si>
  <si>
    <t>GCA-2204-SP</t>
  </si>
  <si>
    <r>
      <rPr>
        <rFont val="PMingLiu"/>
        <b/>
        <color rgb="FF000000"/>
        <sz val="11.0"/>
      </rPr>
      <t>夢幻奇蹟氣泡酒/</t>
    </r>
    <r>
      <rPr>
        <rFont val="新細明體"/>
        <b/>
        <color rgb="FF0070C0"/>
        <sz val="11.0"/>
      </rPr>
      <t>6瓶紙箱</t>
    </r>
  </si>
  <si>
    <t>GCC-1701-MA</t>
  </si>
  <si>
    <t xml:space="preserve">Colome Autentico Malbec 2017                                      </t>
  </si>
  <si>
    <t>極致真實馬貝克紅葡萄酒</t>
  </si>
  <si>
    <t>GCC-1901-MA</t>
  </si>
  <si>
    <t>Colome Autentico Malbec 2019</t>
  </si>
  <si>
    <t>Tim Atkin 95</t>
  </si>
  <si>
    <t>GCC-1502-MA</t>
  </si>
  <si>
    <t xml:space="preserve">Colome Malbec Estate 2015                           </t>
  </si>
  <si>
    <t>極致莊園馬貝克紅葡萄酒</t>
  </si>
  <si>
    <t>RP92/WS92
TOP100/NO18</t>
  </si>
  <si>
    <t>GCC-1902-MA</t>
  </si>
  <si>
    <t>Colome Malbec Estate 2019</t>
  </si>
  <si>
    <r>
      <rPr>
        <rFont val="PMingLiu"/>
        <b/>
        <color rgb="FF000000"/>
        <sz val="11.0"/>
      </rPr>
      <t>極致莊園馬貝克紅葡萄酒/</t>
    </r>
    <r>
      <rPr>
        <rFont val="新細明體"/>
        <b/>
        <color rgb="FF0070C0"/>
        <sz val="11.0"/>
      </rPr>
      <t>6瓶紙箱</t>
    </r>
  </si>
  <si>
    <t>Tim Atkin 93</t>
  </si>
  <si>
    <t>GCC-2102-MA</t>
  </si>
  <si>
    <t>Colome Malbec Estate 2021</t>
  </si>
  <si>
    <r>
      <rPr>
        <rFont val="PMingLiu"/>
        <b/>
        <color rgb="FF000000"/>
        <sz val="11.0"/>
      </rPr>
      <t>極致莊園馬貝克紅葡萄酒/</t>
    </r>
    <r>
      <rPr>
        <rFont val="新細明體"/>
        <b/>
        <color rgb="FF0070C0"/>
        <sz val="11.0"/>
      </rPr>
      <t>6瓶紙箱</t>
    </r>
  </si>
  <si>
    <t>GCC-1504-MA</t>
  </si>
  <si>
    <t>Colome Altura Malbec 2015</t>
  </si>
  <si>
    <r>
      <rPr>
        <rFont val="PMingLiu"/>
        <b/>
        <color rgb="FF000000"/>
        <sz val="11.0"/>
      </rPr>
      <t>凌霄至尊馬貝克葡萄酒-</t>
    </r>
    <r>
      <rPr>
        <rFont val="新細明體"/>
        <b/>
        <color rgb="FFFF0000"/>
        <sz val="11.0"/>
      </rPr>
      <t>3入木盒</t>
    </r>
  </si>
  <si>
    <t>GCC-1705-MA</t>
  </si>
  <si>
    <t>Colome Lote Especial Malbec colome 2017</t>
  </si>
  <si>
    <r>
      <rPr>
        <rFont val="PMingLiu"/>
        <b/>
        <color rgb="FF000000"/>
        <sz val="11.0"/>
      </rPr>
      <t>雲頂精釀佳樂美莊園馬貝克/</t>
    </r>
    <r>
      <rPr>
        <rFont val="新細明體"/>
        <b/>
        <color rgb="FF0070C0"/>
        <sz val="11.0"/>
      </rPr>
      <t>6瓶紙箱</t>
    </r>
  </si>
  <si>
    <t>2300m</t>
  </si>
  <si>
    <t>GCC-1706-MA</t>
  </si>
  <si>
    <t>Colome Lote Especial Malbec La Brava 2017</t>
  </si>
  <si>
    <r>
      <rPr>
        <rFont val="PMingLiu"/>
        <b/>
        <color theme="1"/>
        <sz val="11.0"/>
      </rPr>
      <t>雲頂精釀布拉瓦莊園馬貝克/</t>
    </r>
    <r>
      <rPr>
        <rFont val="新細明體"/>
        <b/>
        <color rgb="FF0070C0"/>
        <sz val="11.0"/>
      </rPr>
      <t>6瓶紙箱</t>
    </r>
  </si>
  <si>
    <t>1700m</t>
  </si>
  <si>
    <t>GCC-1807-MA</t>
  </si>
  <si>
    <t>Colome Lote Especial Malbec El Arenal 2018</t>
  </si>
  <si>
    <r>
      <rPr>
        <rFont val="PMingLiu"/>
        <b/>
        <color rgb="FF000000"/>
        <sz val="11.0"/>
      </rPr>
      <t>雲頂精釀艾瑞納莊園馬貝克/</t>
    </r>
    <r>
      <rPr>
        <rFont val="新細明體"/>
        <b/>
        <color rgb="FF0070C0"/>
        <sz val="11.0"/>
      </rPr>
      <t>6瓶紙箱</t>
    </r>
  </si>
  <si>
    <t>GCC-1708-MA</t>
  </si>
  <si>
    <t>Colome 1831 2017</t>
  </si>
  <si>
    <t>極致經典1831老藤馬貝克</t>
  </si>
  <si>
    <t xml:space="preserve">Tim Atkin 95
Decanter 97
白金獎                                                                            </t>
  </si>
  <si>
    <t>GCC-1909-MA</t>
  </si>
  <si>
    <t>Colome Sigle Vineyard Malbec El Arenal 2019</t>
  </si>
  <si>
    <r>
      <rPr>
        <rFont val="PMingLiu"/>
        <b/>
        <color rgb="FF000000"/>
        <sz val="11.0"/>
      </rPr>
      <t>佳樂美單一莊園馬貝克紅葡萄酒/</t>
    </r>
    <r>
      <rPr>
        <rFont val="新細明體"/>
        <b/>
        <color rgb="FF0070C0"/>
        <sz val="11.0"/>
      </rPr>
      <t>6瓶紙箱</t>
    </r>
  </si>
  <si>
    <t>Tim Atkin 94</t>
  </si>
  <si>
    <t>GCC-1703-TO</t>
  </si>
  <si>
    <t xml:space="preserve">Colome torrontes 2017                                   </t>
  </si>
  <si>
    <t>極致莊園特濃情白葡萄酒</t>
  </si>
  <si>
    <t>JS92/90</t>
  </si>
  <si>
    <t>GCT-1701-MA</t>
  </si>
  <si>
    <t xml:space="preserve">Territorio Malbec 2017                            </t>
  </si>
  <si>
    <t>富饒馬貝克紅葡萄酒</t>
  </si>
  <si>
    <t>GCT-2101-MA</t>
  </si>
  <si>
    <t>Territorio Malbec 2021</t>
  </si>
  <si>
    <r>
      <rPr>
        <rFont val="PMingLiu"/>
        <b/>
        <color rgb="FF000000"/>
        <sz val="11.0"/>
      </rPr>
      <t>富饒馬貝克紅葡萄酒/</t>
    </r>
    <r>
      <rPr>
        <rFont val="新細明體"/>
        <b/>
        <color rgb="FF0070C0"/>
        <sz val="11.0"/>
      </rPr>
      <t>6瓶紙箱</t>
    </r>
  </si>
  <si>
    <t>GCT-1703-TO</t>
  </si>
  <si>
    <t xml:space="preserve">Territorio Torrontes 2017                   </t>
  </si>
  <si>
    <t>富饒特濃情白葡萄酒</t>
  </si>
  <si>
    <t>GCT-2203-TO</t>
  </si>
  <si>
    <t>Territorio Torrontes 2022</t>
  </si>
  <si>
    <r>
      <rPr>
        <rFont val="PMingLiu"/>
        <b/>
        <color rgb="FF000000"/>
        <sz val="11.0"/>
      </rPr>
      <t>富饒特濃情白葡萄酒/</t>
    </r>
    <r>
      <rPr>
        <rFont val="新細明體"/>
        <b/>
        <color rgb="FF0070C0"/>
        <sz val="11.0"/>
      </rPr>
      <t>6瓶紙箱</t>
    </r>
  </si>
  <si>
    <t>AGC-ATR1105</t>
  </si>
  <si>
    <t>Catena Zapata Argentino Malbec</t>
  </si>
  <si>
    <t>卡帝那阿根提諾梅爾貝紅酒</t>
  </si>
  <si>
    <t>AGC-FR01-M04</t>
  </si>
  <si>
    <t>Nicolas Catena Zapata 2004</t>
  </si>
  <si>
    <t>尼古拉斯 卡帝那．沙巴達紅酒</t>
  </si>
  <si>
    <t>酒品庫存數量金額合計</t>
  </si>
  <si>
    <t>酒品庫存數量金額總計</t>
  </si>
  <si>
    <t>附屬品:</t>
  </si>
  <si>
    <t>七銘庫存量/瓶</t>
  </si>
  <si>
    <t>北有買酒</t>
  </si>
  <si>
    <t>中有買酒</t>
  </si>
  <si>
    <t>無買酒</t>
  </si>
  <si>
    <t>Z001</t>
  </si>
  <si>
    <t>單瓶錦盒   2023</t>
  </si>
  <si>
    <t>東方</t>
  </si>
  <si>
    <t>Z001-0</t>
  </si>
  <si>
    <t>單入盒2022</t>
  </si>
  <si>
    <t>Z001-1</t>
  </si>
  <si>
    <t>單瓶禮盒2020</t>
  </si>
  <si>
    <t>Z001-3</t>
  </si>
  <si>
    <t>單瓶高級木盒-空白</t>
  </si>
  <si>
    <t>Z001-4</t>
  </si>
  <si>
    <r>
      <rPr>
        <rFont val="新細明體"/>
        <b/>
        <color rgb="FF000000"/>
        <sz val="11.0"/>
      </rPr>
      <t>單瓶銅扣禮盒</t>
    </r>
  </si>
  <si>
    <t>Z001-5</t>
  </si>
  <si>
    <r>
      <rPr>
        <rFont val="新細明體"/>
        <b/>
        <color rgb="FF000000"/>
        <sz val="11.0"/>
      </rPr>
      <t>小單瓶簡易禮盒</t>
    </r>
  </si>
  <si>
    <t>Z001-6</t>
  </si>
  <si>
    <r>
      <rPr>
        <rFont val="新細明體"/>
        <b/>
        <color rgb="FF000000"/>
        <sz val="11.0"/>
      </rPr>
      <t>單瓶甜酒禮盒</t>
    </r>
  </si>
  <si>
    <t>Z001-7</t>
  </si>
  <si>
    <t>單瓶+RONA紅酒杯 禮盒</t>
  </si>
  <si>
    <t>Z001-8</t>
  </si>
  <si>
    <r>
      <rPr>
        <rFont val="新細明體"/>
        <b/>
        <color rgb="FF000000"/>
        <sz val="11.0"/>
      </rPr>
      <t>簡易手提單瓶紙盒</t>
    </r>
  </si>
  <si>
    <t>Z001-9</t>
  </si>
  <si>
    <r>
      <rPr>
        <rFont val="新細明體"/>
        <b/>
        <color rgb="FF000000"/>
        <sz val="11.0"/>
      </rPr>
      <t>宏嘉 簡易手提單瓶紙盒</t>
    </r>
  </si>
  <si>
    <t>Z001-BEAST</t>
  </si>
  <si>
    <r>
      <rPr>
        <rFont val="新細明體"/>
        <b/>
        <color rgb="FF000000"/>
        <sz val="11.0"/>
      </rPr>
      <t>單入葡萄酒木盒-Beast款</t>
    </r>
  </si>
  <si>
    <t>Z001-BEAUTY</t>
  </si>
  <si>
    <r>
      <rPr>
        <rFont val="新細明體"/>
        <b/>
        <color rgb="FF000000"/>
        <sz val="11.0"/>
      </rPr>
      <t>單入葡萄酒木盒-Beauty款</t>
    </r>
  </si>
  <si>
    <t>Z001-BO</t>
  </si>
  <si>
    <r>
      <rPr>
        <rFont val="PMingLiu"/>
        <b/>
        <color theme="1"/>
        <sz val="11.0"/>
      </rPr>
      <t>單瓶</t>
    </r>
    <r>
      <rPr>
        <rFont val="新細明體"/>
        <b/>
        <color rgb="FF000000"/>
        <sz val="11.0"/>
      </rPr>
      <t>+BOIZEL香檳杯 紙禮盒</t>
    </r>
  </si>
  <si>
    <t>Z001-MORLET</t>
  </si>
  <si>
    <r>
      <rPr>
        <rFont val="新細明體"/>
        <b/>
        <color rgb="FF000000"/>
        <sz val="11.0"/>
      </rPr>
      <t>單入葡萄酒木盒-Morlet款</t>
    </r>
  </si>
  <si>
    <t>Z001-OTTO</t>
  </si>
  <si>
    <r>
      <rPr>
        <rFont val="新細明體"/>
        <b/>
        <color rgb="FF000000"/>
        <sz val="11.0"/>
      </rPr>
      <t>單入葡萄酒木盒-Otto款</t>
    </r>
  </si>
  <si>
    <t>Z002</t>
  </si>
  <si>
    <t>雙瓶禮盒  2022</t>
  </si>
  <si>
    <t>Z002-0</t>
  </si>
  <si>
    <t>雙入禮盒 2023</t>
  </si>
  <si>
    <t>Z002-1</t>
  </si>
  <si>
    <r>
      <rPr>
        <rFont val="新細明體"/>
        <b/>
        <color rgb="FF000000"/>
        <sz val="11.0"/>
      </rPr>
      <t>手提雙瓶紙盒</t>
    </r>
  </si>
  <si>
    <t>Z002-4</t>
  </si>
  <si>
    <t>手提雙瓶紙盒--中油</t>
  </si>
  <si>
    <t>Z002-A</t>
  </si>
  <si>
    <r>
      <rPr>
        <rFont val="新細明體"/>
        <b/>
        <color rgb="FFFF0000"/>
        <sz val="11.0"/>
      </rPr>
      <t>雙瓶禮盒(空白)</t>
    </r>
  </si>
  <si>
    <t>Z002-HOW</t>
  </si>
  <si>
    <r>
      <rPr>
        <rFont val="新細明體"/>
        <b/>
        <color rgb="FF000000"/>
        <sz val="11.0"/>
      </rPr>
      <t>宏嘉 雙入禮盒</t>
    </r>
  </si>
  <si>
    <t>Z003</t>
  </si>
  <si>
    <r>
      <rPr>
        <rFont val="新細明體"/>
        <b/>
        <color rgb="FF000000"/>
        <sz val="11.0"/>
      </rPr>
      <t>雙瓶木盒</t>
    </r>
  </si>
  <si>
    <t>Z003-0</t>
  </si>
  <si>
    <r>
      <rPr>
        <rFont val="新細明體"/>
        <b/>
        <color rgb="FF000000"/>
        <sz val="11.0"/>
      </rPr>
      <t>雄鷹雙瓶木盒</t>
    </r>
  </si>
  <si>
    <t>Z003-1</t>
  </si>
  <si>
    <r>
      <rPr>
        <rFont val="PMingLiu"/>
        <b/>
        <color theme="1"/>
        <sz val="11.0"/>
      </rPr>
      <t>3</t>
    </r>
    <r>
      <rPr>
        <rFont val="新細明體"/>
        <b/>
        <color rgb="FF000000"/>
        <sz val="11.0"/>
      </rPr>
      <t>瓶手提禮盒</t>
    </r>
  </si>
  <si>
    <t>Z003-4</t>
  </si>
  <si>
    <r>
      <rPr>
        <rFont val="PMingLiu"/>
        <b/>
        <color theme="1"/>
        <sz val="11.0"/>
      </rPr>
      <t>6</t>
    </r>
    <r>
      <rPr>
        <rFont val="新細明體"/>
        <b/>
        <color rgb="FF000000"/>
        <sz val="11.0"/>
      </rPr>
      <t>瓶裝小甜白酒禮盒</t>
    </r>
  </si>
  <si>
    <t>Z003-5</t>
  </si>
  <si>
    <t>6入瓶裝抽屜紙盒</t>
  </si>
  <si>
    <t>Z003-9</t>
  </si>
  <si>
    <r>
      <rPr>
        <rFont val="PMingLiu"/>
        <b/>
        <color theme="1"/>
        <sz val="11.0"/>
      </rPr>
      <t>6</t>
    </r>
    <r>
      <rPr>
        <rFont val="新細明體"/>
        <b/>
        <color rgb="FF000000"/>
        <sz val="11.0"/>
      </rPr>
      <t>瓶木箱</t>
    </r>
  </si>
  <si>
    <t>Z003-GMDF</t>
  </si>
  <si>
    <t>加百利美福六入木盒</t>
  </si>
  <si>
    <t>Z004</t>
  </si>
  <si>
    <r>
      <rPr>
        <rFont val="新細明體"/>
        <b/>
        <color rgb="FF000000"/>
        <sz val="11.0"/>
      </rPr>
      <t>白蘭地杯</t>
    </r>
  </si>
  <si>
    <t>Z004-0</t>
  </si>
  <si>
    <r>
      <rPr>
        <rFont val="新細明體"/>
        <b/>
        <color rgb="FF000000"/>
        <sz val="11.0"/>
      </rPr>
      <t>雄鷹水晶杯</t>
    </r>
  </si>
  <si>
    <t>Z004-2</t>
  </si>
  <si>
    <r>
      <rPr>
        <rFont val="PMingLiu"/>
        <b/>
        <color theme="1"/>
        <sz val="11.0"/>
      </rPr>
      <t>OPEN UP</t>
    </r>
    <r>
      <rPr>
        <rFont val="新細明體"/>
        <b/>
        <color rgb="FF000000"/>
        <sz val="11.0"/>
      </rPr>
      <t>葡萄酒杯  320cc</t>
    </r>
  </si>
  <si>
    <t>Z004-3</t>
  </si>
  <si>
    <r>
      <rPr>
        <rFont val="PMingLiu"/>
        <b/>
        <color theme="1"/>
        <sz val="11.0"/>
      </rPr>
      <t>生命之水</t>
    </r>
    <r>
      <rPr>
        <rFont val="新細明體"/>
        <b/>
        <color rgb="FF000000"/>
        <sz val="11.0"/>
      </rPr>
      <t>-機器烈酒杯 (威士忌杯)</t>
    </r>
  </si>
  <si>
    <t>波希米亞</t>
  </si>
  <si>
    <t>Z004-6</t>
  </si>
  <si>
    <r>
      <rPr>
        <rFont val="PMingLiu"/>
        <b/>
        <color theme="1"/>
        <sz val="11.0"/>
      </rPr>
      <t xml:space="preserve">RONA </t>
    </r>
    <r>
      <rPr>
        <rFont val="新細明體"/>
        <b/>
        <color rgb="FF000000"/>
        <sz val="11.0"/>
      </rPr>
      <t>紅酒杯 470ml</t>
    </r>
  </si>
  <si>
    <t>Z004-7</t>
  </si>
  <si>
    <t>品釀之醉陳年葡萄酒杯---小新杯</t>
  </si>
  <si>
    <t>Z005</t>
  </si>
  <si>
    <r>
      <rPr>
        <rFont val="新細明體"/>
        <b/>
        <color rgb="FF000000"/>
        <sz val="11.0"/>
      </rPr>
      <t>簡易開瓶器</t>
    </r>
  </si>
  <si>
    <t>Z005-0</t>
  </si>
  <si>
    <r>
      <rPr>
        <rFont val="新細明體"/>
        <b/>
        <color rgb="FF000000"/>
        <sz val="11.0"/>
      </rPr>
      <t>二段三用開瓶器</t>
    </r>
  </si>
  <si>
    <t>Z005-1</t>
  </si>
  <si>
    <r>
      <rPr>
        <rFont val="新細明體"/>
        <b/>
        <color rgb="FF000000"/>
        <sz val="11.0"/>
      </rPr>
      <t>侍者用開瓶器</t>
    </r>
  </si>
  <si>
    <t>怡朋</t>
  </si>
  <si>
    <t>Z005-2</t>
  </si>
  <si>
    <r>
      <rPr>
        <rFont val="PMingLiu"/>
        <b/>
        <color theme="1"/>
        <sz val="11.0"/>
      </rPr>
      <t>#9902</t>
    </r>
    <r>
      <rPr>
        <rFont val="新細明體"/>
        <b/>
        <color rgb="FF000000"/>
        <sz val="11.0"/>
      </rPr>
      <t>開瓶器</t>
    </r>
  </si>
  <si>
    <t>Z005-GMDF</t>
  </si>
  <si>
    <t>加百利美福原廠開瓶器</t>
  </si>
  <si>
    <t>Z006</t>
  </si>
  <si>
    <r>
      <rPr>
        <rFont val="新細明體"/>
        <b/>
        <color rgb="FF000000"/>
        <sz val="11.0"/>
      </rPr>
      <t>抽真空器</t>
    </r>
  </si>
  <si>
    <t>Z007</t>
  </si>
  <si>
    <r>
      <rPr>
        <rFont val="新細明體"/>
        <b/>
        <color rgb="FF000000"/>
        <sz val="11.0"/>
      </rPr>
      <t>健康書</t>
    </r>
  </si>
  <si>
    <t>Z008</t>
  </si>
  <si>
    <r>
      <rPr>
        <rFont val="新細明體"/>
        <b/>
        <color rgb="FF000000"/>
        <sz val="11.0"/>
      </rPr>
      <t>雙瓶紙袋</t>
    </r>
  </si>
  <si>
    <t>Z008-1</t>
  </si>
  <si>
    <r>
      <rPr>
        <rFont val="新細明體"/>
        <b/>
        <color rgb="FF000000"/>
        <sz val="11.0"/>
      </rPr>
      <t>單瓶紙袋</t>
    </r>
  </si>
  <si>
    <t>Z008-1A</t>
  </si>
  <si>
    <t>單瓶高級紙袋</t>
  </si>
  <si>
    <t>Z008-A</t>
  </si>
  <si>
    <r>
      <rPr>
        <rFont val="新細明體"/>
        <b/>
        <color rgb="FF000000"/>
        <sz val="11.0"/>
      </rPr>
      <t>雙瓶紙袋(空白)</t>
    </r>
  </si>
  <si>
    <t>Z009-2</t>
  </si>
  <si>
    <r>
      <rPr>
        <rFont val="PMingLiu"/>
        <b/>
        <color theme="1"/>
        <sz val="11.0"/>
      </rPr>
      <t>2</t>
    </r>
    <r>
      <rPr>
        <rFont val="新細明體"/>
        <b/>
        <color rgb="FF000000"/>
        <sz val="11.0"/>
      </rPr>
      <t>入抽屜盒(袖套)</t>
    </r>
  </si>
  <si>
    <t>Z009-6</t>
  </si>
  <si>
    <r>
      <rPr>
        <rFont val="PMingLiu"/>
        <b/>
        <color theme="1"/>
        <sz val="11.0"/>
      </rPr>
      <t>6</t>
    </r>
    <r>
      <rPr>
        <rFont val="新細明體"/>
        <b/>
        <color rgb="FF000000"/>
        <sz val="11.0"/>
      </rPr>
      <t>入抽屜盒(袖套)</t>
    </r>
  </si>
  <si>
    <t>Z016-GMDF</t>
  </si>
  <si>
    <r>
      <rPr>
        <rFont val="PMingLiu"/>
        <b/>
        <color theme="1"/>
        <sz val="11.0"/>
      </rPr>
      <t>加百利美福</t>
    </r>
    <r>
      <rPr>
        <rFont val="新細明體"/>
        <b/>
        <color rgb="FF000000"/>
        <sz val="11.0"/>
      </rPr>
      <t>USB卡</t>
    </r>
  </si>
  <si>
    <t>Z017-BO</t>
  </si>
  <si>
    <r>
      <rPr>
        <rFont val="PMingLiu"/>
        <b/>
        <color theme="1"/>
        <sz val="11.0"/>
      </rPr>
      <t xml:space="preserve">BOIZEL </t>
    </r>
    <r>
      <rPr>
        <rFont val="新細明體"/>
        <b/>
        <color rgb="FF000000"/>
        <sz val="11.0"/>
      </rPr>
      <t>瓶塞</t>
    </r>
  </si>
  <si>
    <t>Z017-GMDF</t>
  </si>
  <si>
    <t>加百利美福瓶塞</t>
  </si>
  <si>
    <t>Z017-SW</t>
  </si>
  <si>
    <t>Baron La Rose開瓶器</t>
  </si>
  <si>
    <t>Z018-BO</t>
  </si>
  <si>
    <r>
      <rPr>
        <rFont val="PMingLiu"/>
        <b/>
        <color theme="1"/>
        <sz val="11.0"/>
      </rPr>
      <t xml:space="preserve">BOIZEL </t>
    </r>
    <r>
      <rPr>
        <rFont val="新細明體"/>
        <b/>
        <color rgb="FF000000"/>
        <sz val="11.0"/>
      </rPr>
      <t>冰袋</t>
    </r>
  </si>
  <si>
    <t>Z018-GMDF</t>
  </si>
  <si>
    <t>加百利美福保冷袋</t>
  </si>
  <si>
    <t>Z020</t>
  </si>
  <si>
    <r>
      <rPr>
        <rFont val="新細明體"/>
        <b/>
        <color rgb="FF000000"/>
        <sz val="11.0"/>
      </rPr>
      <t>阿里山火車 木盒、保護套、提袋</t>
    </r>
  </si>
  <si>
    <t>Z021</t>
  </si>
  <si>
    <t>酒滴片</t>
  </si>
  <si>
    <t xml:space="preserve">安勤 </t>
  </si>
  <si>
    <t>酒低片  售價 20元</t>
  </si>
  <si>
    <t>z021-sw</t>
  </si>
  <si>
    <r>
      <rPr>
        <rFont val="新細明體"/>
        <b/>
        <color rgb="FF000000"/>
        <sz val="11.0"/>
      </rPr>
      <t>阿里山小火車空瓶模型</t>
    </r>
  </si>
  <si>
    <t>Z026-ALI-020</t>
  </si>
  <si>
    <r>
      <rPr>
        <rFont val="新細明體"/>
        <b/>
        <color rgb="FF000000"/>
        <sz val="11.0"/>
      </rPr>
      <t>阿里山火車模型紙盒</t>
    </r>
  </si>
  <si>
    <t>ZBO-004</t>
  </si>
  <si>
    <r>
      <rPr>
        <rFont val="PMingLiu"/>
        <b/>
        <color theme="1"/>
        <sz val="11.0"/>
      </rPr>
      <t xml:space="preserve">BOIZEL </t>
    </r>
    <r>
      <rPr>
        <rFont val="新細明體"/>
        <b/>
        <color rgb="FF000000"/>
        <sz val="11.0"/>
      </rPr>
      <t>黑中白香檳紙盒</t>
    </r>
  </si>
  <si>
    <t>ZBO-005</t>
  </si>
  <si>
    <r>
      <rPr>
        <rFont val="PMingLiu"/>
        <b/>
        <color theme="1"/>
        <sz val="11.0"/>
      </rPr>
      <t xml:space="preserve">BOIZEL </t>
    </r>
    <r>
      <rPr>
        <rFont val="新細明體"/>
        <b/>
        <color rgb="FF000000"/>
        <sz val="11.0"/>
      </rPr>
      <t>白中白香檳紙盒</t>
    </r>
  </si>
  <si>
    <t>ZBO-1</t>
  </si>
  <si>
    <t>BOIZEL 壓克力冰桶</t>
  </si>
  <si>
    <t>ZBO-2</t>
  </si>
  <si>
    <t>BOIZEL 玻璃杯16CL</t>
  </si>
  <si>
    <t>ZBO-3</t>
  </si>
  <si>
    <t>BOIZEL 酒瓶模型1.5L</t>
  </si>
  <si>
    <t>ZBO-4</t>
  </si>
  <si>
    <t>BOIZEL 酒瓶模型3L</t>
  </si>
  <si>
    <t>ZBO-5</t>
  </si>
  <si>
    <t>BOIZEL Etui Brut Rereve紙盒</t>
  </si>
  <si>
    <t>ZBO-5.1</t>
  </si>
  <si>
    <t>BOIZEL 特級陳釀香檳紙盒</t>
  </si>
  <si>
    <t>ZBO-6</t>
  </si>
  <si>
    <t>BOIZEL Etui Brut Rose 紙盒</t>
  </si>
  <si>
    <t>ZBO-6.1</t>
  </si>
  <si>
    <t>BOIZEL 特級陳釀粉紅香檳紙盒</t>
  </si>
  <si>
    <t>ZBO-7</t>
  </si>
  <si>
    <t>BOIZEL VINTAGE 紙盒</t>
  </si>
  <si>
    <t>ZBO-8</t>
  </si>
  <si>
    <t>BOIZEL 宣傳冊</t>
  </si>
  <si>
    <t>VM-EL-1202</t>
  </si>
  <si>
    <t xml:space="preserve"> Icons-El incidente 2012</t>
  </si>
  <si>
    <t xml:space="preserve">天外奇蹟                                                                                       </t>
  </si>
  <si>
    <t>VI-1301-CS</t>
  </si>
  <si>
    <t>CAMAREY 2013</t>
  </si>
  <si>
    <t>卡瑪利紅葡萄酒</t>
  </si>
  <si>
    <t>VI-1407-CA.GN</t>
  </si>
  <si>
    <t>Les Seigneurs De Tressy 2014</t>
  </si>
  <si>
    <t>德瑞莊主紅葡萄酒2014</t>
  </si>
  <si>
    <t>SW014-11-AC</t>
  </si>
  <si>
    <t>Ch. Le pin 2011</t>
  </si>
  <si>
    <t>雷蘋城堡</t>
  </si>
  <si>
    <t>DOM-0602-WH-PN</t>
  </si>
  <si>
    <t>Winery Hill Vineyard Pinor Noi</t>
  </si>
  <si>
    <t>奧勒岡州雄鷹酒莊萬里西爾黑皮諾</t>
  </si>
  <si>
    <t>SW059-14-BS</t>
  </si>
  <si>
    <r>
      <rPr>
        <rFont val="PMingLiu"/>
        <b/>
        <color theme="1"/>
        <sz val="11.0"/>
      </rPr>
      <t xml:space="preserve">CH CLOU DU PIN 2014                                        </t>
    </r>
  </si>
  <si>
    <t>德賓城堡-(6瓶木箱)</t>
  </si>
  <si>
    <t>MG-001-16-BS</t>
  </si>
  <si>
    <t xml:space="preserve">Chateau Belrose Bordeaux Superieur 2016    </t>
  </si>
  <si>
    <t>蓓樂蘿城堡</t>
  </si>
  <si>
    <t>MG-002-17-AC</t>
  </si>
  <si>
    <t xml:space="preserve">La Croix D`ardit 2017       </t>
  </si>
  <si>
    <t xml:space="preserve"> 鐸德堡</t>
  </si>
  <si>
    <t>GMDF-1403</t>
  </si>
  <si>
    <t>Saint-Joseph 2014</t>
  </si>
  <si>
    <t>加百利美福酒莊隆河聖約瑟夫葡萄</t>
  </si>
  <si>
    <t>LNSV-1205</t>
  </si>
  <si>
    <t xml:space="preserve">                                                    DOMAINE BAPTISTES BOUTES 2012</t>
  </si>
  <si>
    <t>貝蒂絲莊園（浸信會）</t>
  </si>
  <si>
    <t>RP89   GG金</t>
  </si>
  <si>
    <t>LNSV-1404</t>
  </si>
  <si>
    <t xml:space="preserve"> DOMAINE DE GUISSET 2014</t>
  </si>
  <si>
    <t>吉賽兒莊園</t>
  </si>
  <si>
    <t>RP91</t>
  </si>
  <si>
    <t>LNSV-1306</t>
  </si>
  <si>
    <t xml:space="preserve">                                            DOMAINE DE L'ALBA 2013</t>
  </si>
  <si>
    <t xml:space="preserve">愛爾巴莊園 </t>
  </si>
  <si>
    <t>RP91   GG金</t>
  </si>
  <si>
    <t>IN-1625-CS</t>
  </si>
  <si>
    <t>CAUQUEN Cabernet Sauvignon 2016</t>
  </si>
  <si>
    <t>智利國寶十字軍紅酒</t>
  </si>
  <si>
    <t>VM-VP-1505</t>
  </si>
  <si>
    <t>Vibo-Punta del Viento 2015</t>
  </si>
  <si>
    <t xml:space="preserve">風之谷                                                                                 </t>
  </si>
  <si>
    <t>VM-VP-1505-A</t>
  </si>
  <si>
    <t xml:space="preserve">風之谷  --6入木箱                                                                               </t>
  </si>
  <si>
    <t>VM-VV-1704</t>
  </si>
  <si>
    <t>Vibo-Vinedo Centenario 2017</t>
  </si>
  <si>
    <t xml:space="preserve">千囍之戀                                                                                          </t>
  </si>
  <si>
    <t>VM-VV-1704-A</t>
  </si>
  <si>
    <t xml:space="preserve">千囍之戀     木箱                                                                                        </t>
  </si>
  <si>
    <t>VM-1306-SV-CS</t>
  </si>
  <si>
    <t>Single Vineyard-La Capilla Cabernet Sauvignon 2013</t>
  </si>
  <si>
    <t>限量單一莊園蘇維翁紅葡萄酒  6瓶木箱</t>
  </si>
  <si>
    <t>VM-1706-SV-CS-A</t>
  </si>
  <si>
    <t>Single Vineyard-La Capilla Cabernet Sauvignon 2017</t>
  </si>
  <si>
    <t>VM-1207-SV-MA</t>
  </si>
  <si>
    <t xml:space="preserve">  Single Vineyard-San Carlos Malbec 2012</t>
  </si>
  <si>
    <r>
      <rPr>
        <rFont val="PMingLiu"/>
        <b/>
        <color theme="1"/>
        <sz val="11.0"/>
      </rPr>
      <t xml:space="preserve">限量版單一莊園馬貝克紅葡萄酒 </t>
    </r>
    <r>
      <rPr>
        <rFont val="新細明體"/>
        <b/>
        <color rgb="FFFF0000"/>
        <sz val="11.0"/>
      </rPr>
      <t xml:space="preserve"> </t>
    </r>
  </si>
  <si>
    <t>WE91/JS93</t>
  </si>
  <si>
    <t>LE-1501-MO</t>
  </si>
  <si>
    <t>Little Eden Moscato 2015</t>
  </si>
  <si>
    <t>小伊甸園甜白葡萄酒-螺旋瓶</t>
  </si>
  <si>
    <t>AR-1334</t>
  </si>
  <si>
    <t xml:space="preserve">Artadi Vinas de Gain 2013                                         </t>
  </si>
  <si>
    <t xml:space="preserve">  帝肯莊園紅葡萄酒</t>
  </si>
  <si>
    <t>AR-1434</t>
  </si>
  <si>
    <t>Artadi Vinas de Gain 2014</t>
  </si>
  <si>
    <t>AR-1634</t>
  </si>
  <si>
    <t>Artadi Vinas de Gain 2016</t>
  </si>
  <si>
    <t>AR-1734</t>
  </si>
  <si>
    <t>Artadi Vinas de Gain 2017</t>
  </si>
  <si>
    <t>AR-1638</t>
  </si>
  <si>
    <t>Artadi La Morera de San Lazaro 2016</t>
  </si>
  <si>
    <t>聖樂裟莊園</t>
  </si>
  <si>
    <t>AR-1738</t>
  </si>
  <si>
    <t>Artadi La Morera de San Lazaro 2017</t>
  </si>
  <si>
    <t>IN-1805-ZA-CS</t>
  </si>
  <si>
    <t>Indomita Zardoz C.S 2018</t>
  </si>
  <si>
    <t>智利國寶限量尊藏紅酒-木箱</t>
  </si>
  <si>
    <t>VI-1603-ME</t>
  </si>
  <si>
    <t>TIMES COLORS 2016</t>
  </si>
  <si>
    <t>鳳凰紅葡萄酒</t>
  </si>
  <si>
    <t>VI-1622-SH</t>
  </si>
  <si>
    <t>Les Vigneaux Syrah 2016</t>
  </si>
  <si>
    <t>黃金長城紅葡萄酒</t>
  </si>
  <si>
    <t>VI-1805-CA.GN</t>
  </si>
  <si>
    <t>Duc Des Soubergues/IGP 2018</t>
  </si>
  <si>
    <t>黃金谷紅葡萄酒</t>
  </si>
  <si>
    <t>SW028-15-AC</t>
  </si>
  <si>
    <t>Ch. Lary 2015</t>
  </si>
  <si>
    <t>拉費城堡</t>
  </si>
  <si>
    <t>SW036-14-CB</t>
  </si>
  <si>
    <t>Ch Bel Air 2014</t>
  </si>
  <si>
    <t>貝爾城堡-木箱</t>
  </si>
  <si>
    <t>SW041-16-AC</t>
  </si>
  <si>
    <t>Ch.de Francs 2016</t>
  </si>
  <si>
    <t>弗朗克斯城堡-6入紙箱</t>
  </si>
  <si>
    <t>SW060-14-AC</t>
  </si>
  <si>
    <t xml:space="preserve">CH FONCROZE 2014                                       </t>
  </si>
  <si>
    <t xml:space="preserve">  方客樂城堡(12瓶紙箱)</t>
  </si>
  <si>
    <t>SW062-14-CB</t>
  </si>
  <si>
    <t>CH GRAND MEDOC 2014</t>
  </si>
  <si>
    <t xml:space="preserve"> 美杜城堡-木箱</t>
  </si>
  <si>
    <t>SW062-16-CB</t>
  </si>
  <si>
    <t>CH GRAND MEDOC 2016</t>
  </si>
  <si>
    <t xml:space="preserve"> 美杜城堡-6瓶木箱</t>
  </si>
  <si>
    <t>GMDF-1312</t>
  </si>
  <si>
    <t>Chateau Grand Escalion-AOC costieres Nimes 2013</t>
  </si>
  <si>
    <t>愛絲卡隆堡隆河尼姆丘葡萄酒</t>
  </si>
  <si>
    <t>RP86</t>
  </si>
  <si>
    <t>LNSV-1309</t>
  </si>
  <si>
    <t xml:space="preserve"> DOMAINE GALAMAN 2013</t>
  </si>
  <si>
    <t>蓋拉蒙莊園</t>
  </si>
  <si>
    <t>RP90  GG金2015巴黎金</t>
  </si>
  <si>
    <t>CF-1403</t>
  </si>
  <si>
    <t>CDRV Le Clos des Fees 2014</t>
  </si>
  <si>
    <t>仙女之家紅葡萄酒 (紙箱6入)</t>
  </si>
  <si>
    <t>CF-1405</t>
  </si>
  <si>
    <t>CDRV Vieilles Vignes 2014</t>
  </si>
  <si>
    <t xml:space="preserve">老藤守護仙子紅葡萄酒 (紙箱6入) </t>
  </si>
  <si>
    <t>CF-1705</t>
  </si>
  <si>
    <t>CDRV Vieilles Vignes 2017</t>
  </si>
  <si>
    <t xml:space="preserve"> CF-1304 </t>
  </si>
  <si>
    <t>IGP Un faune avec son Fifre 2013</t>
  </si>
  <si>
    <t>牧神精靈(木箱)</t>
  </si>
  <si>
    <t>WA93</t>
  </si>
  <si>
    <t xml:space="preserve"> CF-1407 </t>
  </si>
  <si>
    <t>CDRV De Battre mon coeur 2014</t>
  </si>
  <si>
    <t xml:space="preserve">心之節奏精靈  </t>
  </si>
  <si>
    <t>CF-1807</t>
  </si>
  <si>
    <t>CDRV De Battre mon coeur 2018</t>
  </si>
  <si>
    <t>RP90-92</t>
  </si>
  <si>
    <t>CF-1609</t>
  </si>
  <si>
    <t>CDR Les Sorcieres 2016</t>
  </si>
  <si>
    <t>女巫仙子紅葡萄酒   (紙箱/12)</t>
  </si>
  <si>
    <t>CF-1613</t>
  </si>
  <si>
    <t>IGP Aimer rever prier setire 2016</t>
  </si>
  <si>
    <t>希望精靈</t>
  </si>
  <si>
    <t>CF-1710-WH</t>
  </si>
  <si>
    <t>IGP Les Sorcires Blanc 2017</t>
  </si>
  <si>
    <t>女巫仙子白葡萄酒 (紙箱6入)</t>
  </si>
  <si>
    <t>BO-008-RE</t>
  </si>
  <si>
    <t>BOIZEL BRUT Reserve</t>
  </si>
  <si>
    <t>x</t>
  </si>
  <si>
    <t>BO-009-EB</t>
  </si>
  <si>
    <t xml:space="preserve">BOIZEL Ultime Extra Brut                                  </t>
  </si>
  <si>
    <t>特級陳釀極致香檳</t>
  </si>
  <si>
    <t>22075N</t>
  </si>
  <si>
    <t>Moet &amp; Chandon Champagne Brut Imperial NV</t>
  </si>
  <si>
    <t>酩悅無年份香檳</t>
  </si>
  <si>
    <t>CDLC-1402-1C</t>
  </si>
  <si>
    <t>Santenay Premier Cru (1er Cru) Rouge 2014</t>
  </si>
  <si>
    <t>松特內一級園紅葡萄酒</t>
  </si>
  <si>
    <t>VB-1701-PN</t>
  </si>
  <si>
    <t>Bourgogne Cote Chalonnaise Pinot Noir 2017</t>
  </si>
  <si>
    <t>布根地夏隆丘黑皮諾紅葡萄酒</t>
  </si>
  <si>
    <r>
      <rPr>
        <rFont val="PMingLiu"/>
        <b/>
        <color rgb="FFFF0000"/>
        <sz val="11.0"/>
      </rPr>
      <t>6</t>
    </r>
    <r>
      <rPr>
        <rFont val="新細明體"/>
        <b/>
        <color rgb="FFFF0000"/>
        <sz val="11.0"/>
      </rPr>
      <t>瓶紙箱</t>
    </r>
  </si>
  <si>
    <t>VB-1703-V</t>
  </si>
  <si>
    <t>Mercurey Rouge 2017</t>
  </si>
  <si>
    <t>布根地梅克雷黑皮諾紅葡萄酒</t>
  </si>
  <si>
    <r>
      <rPr>
        <rFont val="PMingLiu"/>
        <b/>
        <color rgb="FFFF0000"/>
        <sz val="11.0"/>
      </rPr>
      <t>6瓶紙箱</t>
    </r>
  </si>
  <si>
    <t xml:space="preserve">Armagnac Gimet 1987 </t>
  </si>
  <si>
    <t xml:space="preserve"> 極裗雅文邑1987原桶</t>
  </si>
  <si>
    <t>GIMARM-LAR79</t>
  </si>
  <si>
    <t xml:space="preserve">Armagnac Larressingle 1979   </t>
  </si>
  <si>
    <t>雷星閣雅文邑1979年</t>
  </si>
  <si>
    <t>GIMCOG-PRO</t>
  </si>
  <si>
    <t>Cognac Gourmel Promenade en Cognac 3×200ML(Set)</t>
  </si>
  <si>
    <t>禮傲干邑侍酒師套組</t>
  </si>
  <si>
    <t>IN-1704-CS</t>
  </si>
  <si>
    <t>Indomita Varietal C.S 2017</t>
  </si>
  <si>
    <t>IN-1805-CH</t>
  </si>
  <si>
    <t>Indomita Varietal Chardonnay 2018</t>
  </si>
  <si>
    <t>IN-1715-GR-CSC</t>
  </si>
  <si>
    <t>Indomita Gran Reserva C.C.2017</t>
  </si>
  <si>
    <t>IN-1915-GR-CSC</t>
  </si>
  <si>
    <t>Indomita Gran Reserva C.C.2019</t>
  </si>
  <si>
    <t>IN-1916-SB</t>
  </si>
  <si>
    <t>Indomita Varietal Sauvignon Blanc 2019</t>
  </si>
  <si>
    <t>12+1                         24+4                     48+12</t>
  </si>
  <si>
    <t>IN-2016-SB</t>
  </si>
  <si>
    <t>Indomita Varietal Sauvignon Blanc 2020</t>
  </si>
  <si>
    <t>12+1                  24+3                 60+12</t>
  </si>
  <si>
    <t>IN-1723-CS</t>
  </si>
  <si>
    <t>NATURA Cabernet Sauvignon 2017</t>
  </si>
  <si>
    <t>智利國寶南極星紅酒</t>
  </si>
  <si>
    <t>IN-1928-CV-CS</t>
  </si>
  <si>
    <t>Indomita Costa Vera/Cabernet Sauvignon 2019</t>
  </si>
  <si>
    <t>INH-1903-CS</t>
  </si>
  <si>
    <t>Indomita Brio C.S 2019</t>
  </si>
  <si>
    <t>INP-1807-DP-CS.CA</t>
  </si>
  <si>
    <t>Duette Premium C.S Carmenere 2018</t>
  </si>
  <si>
    <t>千里馬頂級精釀蘇維翁-木箱</t>
  </si>
  <si>
    <t>VM-1707-SV-MA-A</t>
  </si>
  <si>
    <t xml:space="preserve">  Single Vineyard-San Carlos Malbec 2017</t>
  </si>
  <si>
    <t xml:space="preserve">限量版單一莊園馬貝克紅葡萄酒                                                            </t>
  </si>
  <si>
    <t>VM-1708-SV-SH-A</t>
  </si>
  <si>
    <t xml:space="preserve">    Single Vineyard-El Olivar Alto Syrah 2017</t>
  </si>
  <si>
    <t xml:space="preserve">限量版單一莊園希哈紅葡萄酒                                                       </t>
  </si>
  <si>
    <t>VM-1710-GR-MA</t>
  </si>
  <si>
    <t>Gran Reserva-Malbec 2017</t>
  </si>
  <si>
    <t xml:space="preserve">極品珍藏馬貝克紅葡萄酒       12紙                                                                </t>
  </si>
  <si>
    <t>VM-1718-RE-CS</t>
  </si>
  <si>
    <t xml:space="preserve">   Reserva-Cabernet Sauvignon 2017-Cork</t>
  </si>
  <si>
    <t xml:space="preserve">莊園典藏蘇維翁紅葡萄酒                                                     </t>
  </si>
  <si>
    <t>VM-1619-RE-MA</t>
  </si>
  <si>
    <t xml:space="preserve">  Reserva-Malbec 2016-Cork</t>
  </si>
  <si>
    <t xml:space="preserve">莊園典藏馬貝克紅葡萄酒                                                 </t>
  </si>
  <si>
    <t>VM-1521-RE-CH</t>
  </si>
  <si>
    <t xml:space="preserve"> Reserva-Chardonnay 2015</t>
  </si>
  <si>
    <t xml:space="preserve">莊園典藏夏多內白葡萄酒(螺絲瓶)                                            </t>
  </si>
  <si>
    <t>VM-1621-RE-CH</t>
  </si>
  <si>
    <t xml:space="preserve"> Reserva-Chardonnay 2016</t>
  </si>
  <si>
    <t>VM-1316-SE-PN</t>
  </si>
  <si>
    <t>Secreto-Pinot Noir 2013-Cork</t>
  </si>
  <si>
    <t xml:space="preserve">秘藏系列黑皮諾紅葡萄酒(螺絲瓶)                                             </t>
  </si>
  <si>
    <t>WE86/</t>
  </si>
  <si>
    <t>VM-1516-SE-PN</t>
  </si>
  <si>
    <t>Secreto-Pinot Noir 2015-CAP</t>
  </si>
  <si>
    <t>秘藏系列黑皮諾紅葡萄酒-螺旋</t>
  </si>
  <si>
    <t>VM-1412-SE-MA</t>
  </si>
  <si>
    <t xml:space="preserve">  Secreto-Malbec 2014</t>
  </si>
  <si>
    <t xml:space="preserve">秘藏系列馬貝克紅葡萄酒                                                          </t>
  </si>
  <si>
    <t>IWC 銅牌獎</t>
  </si>
  <si>
    <t>VM-1414-SE-CA</t>
  </si>
  <si>
    <t xml:space="preserve"> Secreto-Carmenere 2014</t>
  </si>
  <si>
    <t xml:space="preserve">秘藏系列卡曼尼紅葡萄酒                                               </t>
  </si>
  <si>
    <t>VM-1515-SE-SB</t>
  </si>
  <si>
    <t xml:space="preserve">  Secreto-Sauvignon Blanc 2015</t>
  </si>
  <si>
    <t xml:space="preserve">秘藏系列白蘇維翁白葡萄酒(螺絲瓶)                                                       </t>
  </si>
  <si>
    <t>WE87/WS87</t>
  </si>
  <si>
    <t>GP-1701-GR-CS</t>
  </si>
  <si>
    <t>Los Vascos Grande Reserve Cabernet Sauvignon 2017</t>
  </si>
  <si>
    <t>智利拉菲堡特級紅葡萄酒</t>
  </si>
  <si>
    <t>MIT-0722-MI-SH.VI</t>
  </si>
  <si>
    <t>Mitchelton Parish Shiraz Viognier</t>
  </si>
  <si>
    <t>米其爾頓珮麗絲</t>
  </si>
  <si>
    <t>SH-1239-BW-SH</t>
  </si>
  <si>
    <t>ST Blackwell Shiraz 2012</t>
  </si>
  <si>
    <t>聖海力特釀酒師精選布萊克威希哈</t>
  </si>
  <si>
    <t>SH-1339-BW-SH</t>
  </si>
  <si>
    <t>ST Blackwell Shiraz 2013</t>
  </si>
  <si>
    <t>SH-1346-GK</t>
  </si>
  <si>
    <t>ST Hallett Gamekeepers Shiraz Grenache 2013</t>
  </si>
  <si>
    <t>聖海力特守護者希哈格納查紅酒</t>
  </si>
  <si>
    <t>HF1503-SH</t>
  </si>
  <si>
    <t>Hentley Farm The Beauty Shiraz 2015</t>
  </si>
  <si>
    <t>JH97/RP92/WS92</t>
  </si>
  <si>
    <t>HF1913-SH</t>
  </si>
  <si>
    <t>Hentley Farm Villain &amp; Vixen Shiraz 2019</t>
  </si>
  <si>
    <t>惡棍還是潑婦？-螺旋瓶</t>
  </si>
  <si>
    <t>HF1506-SH</t>
  </si>
  <si>
    <t>Hentley Farm Caretaker Shiraz 2015</t>
  </si>
  <si>
    <t>杭特莊園守護者希哈紅酒-螺旋瓶</t>
  </si>
  <si>
    <t>贈送</t>
  </si>
  <si>
    <t>HF1508-X</t>
  </si>
  <si>
    <t>Hentley Farm Rogue (Red Field Blend) 2015</t>
  </si>
  <si>
    <t>杭特莊園王子紅葡萄酒-螺旋瓶</t>
  </si>
  <si>
    <t>JH93</t>
  </si>
  <si>
    <t>BV-1401-SH-RE</t>
  </si>
  <si>
    <t>Reserve Barossa Shiraz 2014</t>
  </si>
  <si>
    <t>頂級釀酒師鑽石典藏巴蘿莎希哈-螺旋瓶</t>
  </si>
  <si>
    <t>Decanter白金獎</t>
  </si>
  <si>
    <t>BV-1603-ML-SH</t>
  </si>
  <si>
    <t>Metal label Black Shiraz 2016</t>
  </si>
  <si>
    <t>精選白金希哈紅葡萄酒-螺旋瓶</t>
  </si>
  <si>
    <t>國際金牌獎 15</t>
  </si>
  <si>
    <t>BV-1507-FS-SH</t>
  </si>
  <si>
    <t>Foundstone Shiraz 2015</t>
  </si>
  <si>
    <t>特級寶石希哈紅葡萄酒-螺旋瓶</t>
  </si>
  <si>
    <t>BV-1608-MO</t>
  </si>
  <si>
    <t>Sweet as Moscato 2016</t>
  </si>
  <si>
    <t>美麗甜心白蜜思嘉-螺旋瓶</t>
  </si>
  <si>
    <t>BV-2009-MO-RO</t>
  </si>
  <si>
    <t>Sweet as Pink Moscato 2020</t>
  </si>
  <si>
    <t>美麗甜心粉紅蜜思嘉-螺旋瓶</t>
  </si>
  <si>
    <t xml:space="preserve"> ESP-1401 </t>
  </si>
  <si>
    <t xml:space="preserve"> ESPECTACLE 2014 </t>
  </si>
  <si>
    <t xml:space="preserve"> 夢幻美景大師五重奏 </t>
  </si>
  <si>
    <t xml:space="preserve">RP/WA97  /                         Guia  Penin  97  </t>
  </si>
  <si>
    <t>AR-AZ-1722</t>
  </si>
  <si>
    <t>Santa Cruz de Artazu 2017</t>
  </si>
  <si>
    <t>神塔莊園</t>
  </si>
  <si>
    <t>AR-AZ-1423</t>
  </si>
  <si>
    <t xml:space="preserve">Garnacha by Tinto 2014                                        </t>
  </si>
  <si>
    <t>格那希</t>
  </si>
  <si>
    <t>WA88</t>
  </si>
  <si>
    <t>AR-1533</t>
  </si>
  <si>
    <t>Artadi Valdegines 2015</t>
  </si>
  <si>
    <t xml:space="preserve">  萬帝思莊園-木箱</t>
  </si>
  <si>
    <t>DOM-1711-GR-CH</t>
  </si>
  <si>
    <t>Recolte Grand Cru Chardonnay 2017</t>
  </si>
  <si>
    <t>奧勒岡州雄鷹酒莊蕾克朵一級園夏多內白葡萄酒 (6瓶紙箱)</t>
  </si>
  <si>
    <t>JS97/WS93</t>
  </si>
  <si>
    <t>JD-1605-PI-AUS</t>
  </si>
  <si>
    <t>PIESPORTER MICHELSBERG RIESLING AUSLESE 2016</t>
  </si>
  <si>
    <t>花漾城堡皇后鑽石勳章頂級甜白酒-螺旋瓶</t>
  </si>
  <si>
    <r>
      <rPr>
        <rFont val="PMingLiu"/>
        <b/>
        <color rgb="FF000000"/>
        <sz val="11.0"/>
      </rPr>
      <t>12瓶紙箱</t>
    </r>
  </si>
  <si>
    <t>JD-1711-SP</t>
  </si>
  <si>
    <t xml:space="preserve">Sparkling-Sweet/Splendid 2017 </t>
  </si>
  <si>
    <r>
      <rPr>
        <rFont val="PMingLiu"/>
        <b/>
        <color rgb="FF000000"/>
        <sz val="11.0"/>
      </rPr>
      <t>12瓶紙箱</t>
    </r>
  </si>
  <si>
    <t>GCA-1702-MA</t>
  </si>
  <si>
    <t xml:space="preserve">Amalaya Malbec 2017                                </t>
  </si>
  <si>
    <t>奇蹟馬貝克紅葡萄酒</t>
  </si>
  <si>
    <t>JS90</t>
  </si>
  <si>
    <t>GCA-1802-MA</t>
  </si>
  <si>
    <t>Amalaya Malbec 2018</t>
  </si>
  <si>
    <t>JS91/DWWA銀牌</t>
  </si>
  <si>
    <t>GCA-1703-TO</t>
  </si>
  <si>
    <t xml:space="preserve">Amalaya Torrontes-Resling 2017                       </t>
  </si>
  <si>
    <t>奇蹟特濃情白葡萄酒--螺旋瓶</t>
  </si>
  <si>
    <t>GCC-1608-MA</t>
  </si>
  <si>
    <t>Colome 1831 2016</t>
  </si>
  <si>
    <t>Deconter  92</t>
  </si>
  <si>
    <t>GCT-1702-CS</t>
  </si>
  <si>
    <t xml:space="preserve">Territorio Cabernet Sauvignon 2017            </t>
  </si>
  <si>
    <t>富饒特濃情卡本內蘇維翁紅葡萄酒</t>
  </si>
  <si>
    <t>VI-1811-CA.GN</t>
  </si>
  <si>
    <t>Grand Victoria/IGP 2018</t>
  </si>
  <si>
    <t>維多麗亞酒店專用酒</t>
  </si>
  <si>
    <t>VI-2009-CA.GN</t>
  </si>
  <si>
    <t>Les Romantiques/IGP 2020</t>
  </si>
  <si>
    <t>12@190     24@182        60+2@177  120+5@175</t>
  </si>
  <si>
    <t>VI-1810-CA.GN</t>
  </si>
  <si>
    <t>La Franciade/IGP 2018</t>
  </si>
  <si>
    <t>SW035-13-CB</t>
  </si>
  <si>
    <t>Ch.Bessan Segur 2013</t>
  </si>
  <si>
    <t>貝珊瑟古城堡-6入木箱</t>
  </si>
  <si>
    <t>MG-004-19-BS</t>
  </si>
  <si>
    <t>CITRAN BX ROUGE 2019 BORDEAUX SUPERIEUR</t>
  </si>
  <si>
    <t>法國孔雀堡-全球限量款超級波爾多紅葡萄酒 6入紙箱</t>
  </si>
  <si>
    <t>AR-ES-1413</t>
  </si>
  <si>
    <t xml:space="preserve">Monastrell by Tinto 2014                                       </t>
  </si>
  <si>
    <t>慕維得爾</t>
  </si>
  <si>
    <t>AR-1137-SP</t>
  </si>
  <si>
    <t xml:space="preserve">Artadi Cava 2011                                         </t>
  </si>
  <si>
    <t>卡瓦氣泡酒</t>
  </si>
  <si>
    <t xml:space="preserve">TOKAJ-3P-11 </t>
  </si>
  <si>
    <t xml:space="preserve">Tokaj&amp;Co Tokajský Výber 3 Putňový  </t>
  </si>
  <si>
    <t xml:space="preserve">3葡桶貴族葡萄酒    </t>
  </si>
  <si>
    <t xml:space="preserve">TOKAJ-5P-07 </t>
  </si>
  <si>
    <t xml:space="preserve">TOKAJ&amp;CO TOKAJSKÝ VÝBER 5 PUTŇOVÝ </t>
  </si>
  <si>
    <t xml:space="preserve">5葡桶貴族葡萄酒    </t>
  </si>
  <si>
    <t>IN-2105-CH</t>
  </si>
  <si>
    <t>Indomita Varietal Chardonnay 2021</t>
  </si>
  <si>
    <t xml:space="preserve"> CF-1202-WH </t>
  </si>
  <si>
    <t>IGP Le Clos des Fees Blanc 2012</t>
  </si>
  <si>
    <t>仙女之家白葡萄酒 (紙箱6入)</t>
  </si>
  <si>
    <t>GIM-GIN01</t>
  </si>
  <si>
    <t xml:space="preserve">Blurrymoom Gin </t>
  </si>
  <si>
    <t>朦月琴酒</t>
  </si>
  <si>
    <t>IN-1622-GR-CS</t>
  </si>
  <si>
    <t>ISLA GRANDE CALEUCHA Gran Reserva C.S.2016</t>
  </si>
  <si>
    <t>智利國寶航海家紅酒</t>
  </si>
  <si>
    <t>VM-1722-SE-CS</t>
  </si>
  <si>
    <t>Secreto-Cabernet Sauvignon 2017</t>
  </si>
  <si>
    <t>秘藏系列蘇維翁紅葡萄酒</t>
  </si>
  <si>
    <t>ESP-1301</t>
  </si>
  <si>
    <r>
      <rPr>
        <rFont val="PMingLiu"/>
        <b/>
        <color rgb="FF000000"/>
        <sz val="11.0"/>
      </rPr>
      <t xml:space="preserve">Espectacle Montsant 2013 </t>
    </r>
    <r>
      <rPr>
        <rFont val="新細明體"/>
        <b/>
        <color rgb="FFFF0000"/>
        <sz val="11.0"/>
      </rPr>
      <t>(EUROPVIN)</t>
    </r>
  </si>
  <si>
    <t>IN-1901-CS-CAP</t>
  </si>
  <si>
    <t>Polero2019</t>
  </si>
  <si>
    <t>智利國寶 特級蘇維翁紅酒(螺旋瓶)</t>
  </si>
  <si>
    <t>VI-1911-CA.GN</t>
  </si>
  <si>
    <t>Grand Victoria/IGP 2019</t>
  </si>
  <si>
    <t>IN-2004-CS</t>
  </si>
  <si>
    <t>Indomita Varietal C.S 2020</t>
  </si>
  <si>
    <t>IN-2001-CS-CAP</t>
  </si>
  <si>
    <t>Polero2020</t>
  </si>
  <si>
    <t>VM-1409-GR-CS</t>
  </si>
  <si>
    <t xml:space="preserve"> Gran Reserva-Cabernet Sauvignon 2014</t>
  </si>
  <si>
    <t xml:space="preserve">極品珍藏蘇維翁紅葡萄酒                                                          </t>
  </si>
  <si>
    <t>WS90</t>
  </si>
  <si>
    <t>VM-1513-SE-SH</t>
  </si>
  <si>
    <t>Secreto-Syrah 2015</t>
  </si>
  <si>
    <t>秘藏系列希哈紅葡萄酒</t>
  </si>
  <si>
    <t>VM-1512-SE-MA</t>
  </si>
  <si>
    <t>Secreto-Malbec 2015</t>
  </si>
  <si>
    <t>秘藏系列馬貝克紅葡萄酒</t>
  </si>
  <si>
    <t>VM-1522-SE-CS</t>
  </si>
  <si>
    <t>Secreto-Cabernet Sauvignon 2015</t>
  </si>
  <si>
    <t>SH-1139-BW-SH</t>
  </si>
  <si>
    <t>ST Blackwell Shiraz2011</t>
  </si>
  <si>
    <t>VI-1621-CS</t>
  </si>
  <si>
    <t>Les Charmes Cabernet Sauvignon 2016</t>
  </si>
  <si>
    <t>皇家盾牌紅葡萄酒</t>
  </si>
  <si>
    <t>VI-1710-CA.GN</t>
  </si>
  <si>
    <t>La Franciade/IGP 2017</t>
  </si>
  <si>
    <t>VI-2010-CA.GN</t>
  </si>
  <si>
    <t>La Franciade/IGP 2020</t>
  </si>
  <si>
    <t>BM-58-1802</t>
  </si>
  <si>
    <t xml:space="preserve">BM 58 BORDEAUX 2018 </t>
  </si>
  <si>
    <t>克萊蒙教皇堡主58傳奇限量波爾多-6入紙箱</t>
  </si>
  <si>
    <t>BM-58-1903-WH</t>
  </si>
  <si>
    <t>BM 58 BORDEAUX BLANC 2019</t>
  </si>
  <si>
    <t>克萊蒙教皇堡主58傳奇波爾多白-6入紙箱</t>
  </si>
  <si>
    <t>GMDF-1409</t>
  </si>
  <si>
    <t>Cotes du Rhone 2014</t>
  </si>
  <si>
    <t>加百利美福酒莊隆河丘葡萄酒</t>
  </si>
  <si>
    <t>WA87</t>
  </si>
  <si>
    <t>CF-2107</t>
  </si>
  <si>
    <t>CDRV De Battre mon coeur 2021</t>
  </si>
  <si>
    <t xml:space="preserve">心之節奏精靈  (紙箱6入) </t>
  </si>
  <si>
    <t>CF-2109</t>
  </si>
  <si>
    <t>CDR Les Sorcieres 2021</t>
  </si>
  <si>
    <t>女巫仙子紅葡萄酒   (紙箱6入)</t>
  </si>
  <si>
    <t>CF-1812</t>
  </si>
  <si>
    <t xml:space="preserve">CDR Modeste 2018 </t>
  </si>
  <si>
    <t>和諧精靈 (紙箱6入)</t>
  </si>
  <si>
    <t>CF-1813</t>
  </si>
  <si>
    <t>IGP Aimer rever prier setire 2018</t>
  </si>
  <si>
    <t>希望精靈 (紙箱6入)</t>
  </si>
  <si>
    <t>BO-007-RO</t>
  </si>
  <si>
    <t>BOIZEL Rose</t>
  </si>
  <si>
    <t>VIN90</t>
  </si>
  <si>
    <t>FCPDPR0375B</t>
  </si>
  <si>
    <t>Dom Perignon Rose 2003</t>
  </si>
  <si>
    <t>粉紅香檳王精裝禮盒版</t>
  </si>
  <si>
    <t>FR-KG-GC</t>
  </si>
  <si>
    <t>Krug Grande Cuve N.V.</t>
  </si>
  <si>
    <t>庫克典藏香檳</t>
  </si>
  <si>
    <t>VB-1702-CH</t>
  </si>
  <si>
    <t>Bourgogne Cote Chalonnaise Chardonnay 2017</t>
  </si>
  <si>
    <t>布根地夏隆丘夏多內白葡萄酒</t>
  </si>
  <si>
    <r>
      <rPr>
        <rFont val="PMingLiu"/>
        <b/>
        <color rgb="FFFF0000"/>
        <sz val="11.0"/>
      </rPr>
      <t>6</t>
    </r>
    <r>
      <rPr>
        <rFont val="新細明體"/>
        <b/>
        <color rgb="FFFF0000"/>
        <sz val="11.0"/>
      </rPr>
      <t>瓶紙箱</t>
    </r>
  </si>
  <si>
    <t>GIMARM-GIM62</t>
  </si>
  <si>
    <t>Armagnac Gimet 1962</t>
  </si>
  <si>
    <t>極魅雅文邑1962年原桶</t>
  </si>
  <si>
    <t>IN-2005-CH</t>
  </si>
  <si>
    <t>Indomita Varietal Chardonnay 2020</t>
  </si>
  <si>
    <t>IN-2015-GR-CSC</t>
  </si>
  <si>
    <t>Indomita Gran Reserva C.C.2020</t>
  </si>
  <si>
    <t>IN-2101-CS-CAP</t>
  </si>
  <si>
    <t>Polero2021</t>
  </si>
  <si>
    <t>IN-2124-CS</t>
  </si>
  <si>
    <t>NATIVO Cabernet Sauvignon 2021</t>
  </si>
  <si>
    <t>VM-1819-RE-MA</t>
  </si>
  <si>
    <t xml:space="preserve">  Reserva-Malbec 2018-Cork</t>
  </si>
  <si>
    <t xml:space="preserve">莊園典藏馬貝克紅葡萄酒     12紙                                              </t>
  </si>
  <si>
    <t>VM-1820-RE-ME</t>
  </si>
  <si>
    <t>Reserva-Merlot 2018-Cork</t>
  </si>
  <si>
    <t>莊園典藏梅洛紅葡萄酒  12紙</t>
  </si>
  <si>
    <t>VM-1514-SE-CA</t>
  </si>
  <si>
    <t>Secreto-Carmenere 2015</t>
  </si>
  <si>
    <t>秘藏系列卡曼尼紅葡萄酒</t>
  </si>
  <si>
    <t>EOV-1205-RE-CV</t>
  </si>
  <si>
    <t>Reserva-Chardonnay Viogner 2012</t>
  </si>
  <si>
    <t>南美獅子王陳年珍藏夏多內維歐尼白酒</t>
  </si>
  <si>
    <t>放酒櫃10瓶</t>
  </si>
  <si>
    <t>MIT-0615-PL-SH</t>
  </si>
  <si>
    <t>Mitchelton Print Shiraz 2006</t>
  </si>
  <si>
    <t>米其爾頓旗鑑酒    2006</t>
  </si>
  <si>
    <t>HF1805-CS</t>
  </si>
  <si>
    <t>Hentley Farm Cabernet Sauvignon 2018</t>
  </si>
  <si>
    <t>杭特莊園卡本內蘇維翁紅酒(螺旋瓶)</t>
  </si>
  <si>
    <t>HF1809-SH</t>
  </si>
  <si>
    <t>Hentley Farm Shiraz 2018</t>
  </si>
  <si>
    <t>杭特莊園希哈紅酒-螺旋瓶</t>
  </si>
  <si>
    <t>HF1910-CS</t>
  </si>
  <si>
    <t>Hentley Farm The Marl Cabernet Sauvignon2019</t>
  </si>
  <si>
    <t>泥灰岩卡本內蘇維翁紅葡萄酒--螺旋瓶</t>
  </si>
  <si>
    <t>BV-1609-MO-RO</t>
  </si>
  <si>
    <t>Sweet as Pink Moscato 2016</t>
  </si>
  <si>
    <t>SB-0701-CS</t>
  </si>
  <si>
    <t>SUCKFIZZLE Cabernet Sauvignon</t>
  </si>
  <si>
    <t>西澳莎克妃卡本內蘇維翁</t>
  </si>
  <si>
    <t>AR-1233</t>
  </si>
  <si>
    <t xml:space="preserve">Artadi Valdegines 2012                                  </t>
  </si>
  <si>
    <t>萬帝思莊園-木箱</t>
  </si>
  <si>
    <t>FIR-1002-PG</t>
  </si>
  <si>
    <t>Firesteed Pinot Gris 2010</t>
  </si>
  <si>
    <t>LA-1703-X</t>
  </si>
  <si>
    <t>Lapis Luna Red Blend 2017</t>
  </si>
  <si>
    <t>知遇之恩紅葡萄酒</t>
  </si>
  <si>
    <t>12 瓶紙箱</t>
  </si>
  <si>
    <t>LA-1805-ZF</t>
  </si>
  <si>
    <t>Lapis Luna Zinfandel 2018</t>
  </si>
  <si>
    <t>知難行易金芬黛紅葡萄酒</t>
  </si>
  <si>
    <t>JD-1502-KL-SPA</t>
  </si>
  <si>
    <t>KLUSSERATHER ST.MICHAEL RIESLING SPATLESE 2015</t>
  </si>
  <si>
    <t>克魯莊園金牌精選晚摘甜白葡萄酒</t>
  </si>
  <si>
    <t>12瓶紙箱</t>
  </si>
  <si>
    <t>JD-1604-PI-SPA</t>
  </si>
  <si>
    <t>PIESPORTER MICHELSBERG RIESLING SPATLESE 2016</t>
  </si>
  <si>
    <t>花漾城堡皇室金勳章精選晚摘甜白</t>
  </si>
  <si>
    <r>
      <rPr>
        <rFont val="PMingLiu"/>
        <b/>
        <color rgb="FF000000"/>
        <sz val="11.0"/>
      </rPr>
      <t>12瓶紙箱</t>
    </r>
  </si>
  <si>
    <t>MM-205Q14</t>
  </si>
  <si>
    <t>Markus Molitor Haus Klosterberg Riesling QBA 2014</t>
  </si>
  <si>
    <t>德國馬庫斯梅麗特精選雷絲玲甜白酒</t>
  </si>
  <si>
    <t>GCA-1803-TO</t>
  </si>
  <si>
    <t>Amalaya Torrontes-Resling 2018</t>
  </si>
  <si>
    <t>奇蹟特濃情白葡萄酒-螺旋瓶</t>
  </si>
  <si>
    <t>Decanter94分/JS91</t>
  </si>
  <si>
    <t>Amalaya Corte Unico 2013</t>
  </si>
  <si>
    <t>GCC-1701-MA-N</t>
  </si>
  <si>
    <t xml:space="preserve">Colome Autentico Malbec 2017   (新標)                                   </t>
  </si>
  <si>
    <t>GCC-1605-MA</t>
  </si>
  <si>
    <t>Colome Lote Especial Malbec colome 2016</t>
  </si>
  <si>
    <t>雲頂精釀佳樂美莊園馬貝克</t>
  </si>
  <si>
    <t>GCC-1407-MA</t>
  </si>
  <si>
    <t>Colome Lote Especial Malbec El Arenal 2014</t>
  </si>
  <si>
    <t>雲頂精釀艾瑞納莊園馬貝克</t>
  </si>
  <si>
    <t>GCC-1707-MA</t>
  </si>
  <si>
    <t>Colome Lote Especial Malbec El Arenal 2017</t>
  </si>
  <si>
    <t>VI-1831-X</t>
  </si>
  <si>
    <t>Grand Noble 2018</t>
  </si>
  <si>
    <t>皇家貴族紅葡萄酒</t>
  </si>
  <si>
    <t>290             280</t>
  </si>
  <si>
    <t>VI-1904-CA.GN</t>
  </si>
  <si>
    <t>La Grande/IGP 2019</t>
  </si>
  <si>
    <t>格蘭帝紅葡萄酒</t>
  </si>
  <si>
    <t>VI-1841-CA.GN</t>
  </si>
  <si>
    <t>Les Conquets 2018</t>
  </si>
  <si>
    <t>征服者威廉紅葡萄酒</t>
  </si>
  <si>
    <t>380-420</t>
  </si>
  <si>
    <t>SW021-14-CB</t>
  </si>
  <si>
    <t xml:space="preserve">CH TOUR DU ROC 2014 </t>
  </si>
  <si>
    <t>杜洛克城堡-6瓶木箱</t>
  </si>
  <si>
    <t>CF-1810-WH</t>
  </si>
  <si>
    <t>IGP Les Sorcires Blanc 2018</t>
  </si>
  <si>
    <t>INP-1907-DP-CS.CA</t>
  </si>
  <si>
    <t>Duette Premium C.S Carmenere 2019</t>
  </si>
  <si>
    <t>AR-ES-1513</t>
  </si>
  <si>
    <t>Monastrell by Tinto 2015</t>
  </si>
  <si>
    <t>LA-1906-CS</t>
  </si>
  <si>
    <t>Lapis Lune C.S. Ltd Reserve Napa 2019</t>
  </si>
  <si>
    <t>藍月酒莊限量版蘇維翁紅葡萄酒</t>
  </si>
  <si>
    <t>VI-1903-ME</t>
  </si>
  <si>
    <t>TIMES COLORS 2019</t>
  </si>
  <si>
    <t>LM-002-22-AC</t>
  </si>
  <si>
    <t xml:space="preserve">LA VIEILLE EGLISE 2022             </t>
  </si>
  <si>
    <t>GMDF-1408</t>
  </si>
  <si>
    <t>Plan de Dieu Cotes du Rhone Village 2014</t>
  </si>
  <si>
    <t>加百利美福酒莊隆河丘村莊級葡萄酒</t>
  </si>
  <si>
    <t>IN-2201-CS-CAP</t>
  </si>
  <si>
    <t>Polero2022</t>
  </si>
  <si>
    <r>
      <rPr>
        <rFont val="PMingLiu"/>
        <b/>
        <color rgb="FF000000"/>
        <sz val="11.0"/>
      </rPr>
      <t>智利國寶 特級蘇維翁紅酒</t>
    </r>
    <r>
      <rPr>
        <rFont val="新細明體"/>
        <b/>
        <color rgb="FFFF0000"/>
        <sz val="11.0"/>
      </rPr>
      <t>(螺旋瓶)</t>
    </r>
  </si>
  <si>
    <t>BV-2008-MO</t>
  </si>
  <si>
    <t>Sweet as Moscato2020</t>
  </si>
  <si>
    <t>LE-1502-PN</t>
  </si>
  <si>
    <t>Little Eden Pinot Nior 2015</t>
  </si>
  <si>
    <t>小伊甸園黑皮諾紅葡萄酒-螺旋瓶</t>
  </si>
  <si>
    <t>JD-1503-PI-KAB</t>
  </si>
  <si>
    <t>PIESPORTER MICHELSBERG RIESLING KABINETT 2015</t>
  </si>
  <si>
    <t>花漾城堡皇室騎士勳章精選甜白酒</t>
  </si>
  <si>
    <r>
      <rPr>
        <rFont val="PMingLiu"/>
        <b/>
        <color rgb="FFFF0000"/>
        <sz val="11.0"/>
      </rPr>
      <t>12瓶紙箱6</t>
    </r>
    <r>
      <rPr>
        <rFont val="新細明體"/>
        <b/>
        <color rgb="FFFF0000"/>
        <sz val="11.0"/>
      </rPr>
      <t>保留</t>
    </r>
  </si>
  <si>
    <t>JD-2005-PI-AUS</t>
  </si>
  <si>
    <t>PIESPORTER MICHELSBERG RIESLING AUSLESE 2020</t>
  </si>
  <si>
    <r>
      <rPr>
        <rFont val="PMingLiu"/>
        <b/>
        <color rgb="FF000000"/>
        <sz val="11.0"/>
      </rPr>
      <t>12瓶紙箱</t>
    </r>
  </si>
  <si>
    <t>EGLY-BDN-VV</t>
  </si>
  <si>
    <t>Egly Ouriet Blanc de Noirs V.V. Grand Cru Brut NV</t>
  </si>
  <si>
    <t>埃格麗梧利耶老藤黑中白香檳</t>
  </si>
  <si>
    <t>BO15100802-S</t>
  </si>
  <si>
    <t>BOIZEL ROSE 2004</t>
  </si>
  <si>
    <t>香檳樣品</t>
  </si>
  <si>
    <t>GIMARM-GIM73</t>
  </si>
  <si>
    <t>ARMAGNAC GIMET 1973            容量:700ML</t>
  </si>
  <si>
    <t>極魅雅文邑1973年原桶 / 6瓶紙箱</t>
  </si>
  <si>
    <t>GIMARM-GIM79</t>
  </si>
  <si>
    <t>ARMAGNAC GIMET 1979            容量:700ML</t>
  </si>
  <si>
    <t>極魅雅文邑1979年原桶 / 6瓶紙箱</t>
  </si>
  <si>
    <t>ARMAGNAC GIMET 1982            容量:700ML</t>
  </si>
  <si>
    <t>極魅雅文邑1982年原桶 / 6瓶紙箱</t>
  </si>
  <si>
    <t>IN-2205-CH</t>
  </si>
  <si>
    <t>Indomita Varietal Chardonnay 2022</t>
  </si>
  <si>
    <t>255          230</t>
  </si>
  <si>
    <t>11+1        55+5</t>
  </si>
  <si>
    <t>234               211</t>
  </si>
  <si>
    <t>IN-2116-SB</t>
  </si>
  <si>
    <t>Indomita Varietal Sauvignon Blanc 2021</t>
  </si>
  <si>
    <t>IN-2204-CS</t>
  </si>
  <si>
    <t>Indomita Varietal C.S 2022</t>
  </si>
  <si>
    <t>IN-1924-CS</t>
  </si>
  <si>
    <t>NATIVO Cabernet Sauvignon 2019</t>
  </si>
  <si>
    <t>IN-2028-CV-CS</t>
  </si>
  <si>
    <t>Indomita Costa Vera/Cabernet Sauvignon 2020</t>
  </si>
  <si>
    <t>IN-2030-ME</t>
  </si>
  <si>
    <t xml:space="preserve">Indomita Varietal Merlot 2020   </t>
  </si>
  <si>
    <t>INH-2103-CS</t>
  </si>
  <si>
    <t>Indomita Brio C.S 2021</t>
  </si>
  <si>
    <t>INH-2203-CS</t>
  </si>
  <si>
    <t>Indomita Brio C.S 2022</t>
  </si>
  <si>
    <t>INP-1727-DP-CH</t>
  </si>
  <si>
    <t xml:space="preserve">Duette Premium Chardonnay 2017  </t>
  </si>
  <si>
    <t>千里馬頂級精釀夏多內白葡萄酒</t>
  </si>
  <si>
    <t>BV-1911-ML-CH</t>
  </si>
  <si>
    <t>Metal Iabel Limestone Coast Chardonnay 2019</t>
  </si>
  <si>
    <r>
      <rPr>
        <rFont val="PMingLiu"/>
        <b/>
        <color rgb="FF000000"/>
        <sz val="11.0"/>
      </rPr>
      <t>精選白金夏多內白葡萄酒</t>
    </r>
    <r>
      <rPr>
        <rFont val="新細明體"/>
        <b/>
        <color rgb="FFFF0000"/>
        <sz val="11.0"/>
      </rPr>
      <t>(螺旋瓶)</t>
    </r>
    <r>
      <rPr>
        <rFont val="新細明體"/>
        <b/>
        <color rgb="FF000000"/>
        <sz val="11.0"/>
      </rPr>
      <t xml:space="preserve"> / 6瓶紙箱</t>
    </r>
  </si>
  <si>
    <t>LV-HOW8-11</t>
  </si>
  <si>
    <t xml:space="preserve">HOW VIN NO8 Tempranillo Roble  2011 </t>
  </si>
  <si>
    <t xml:space="preserve">老藤8號 </t>
  </si>
  <si>
    <t>24+27</t>
  </si>
  <si>
    <t>DOM-0805-YC-PN</t>
  </si>
  <si>
    <t>Yamhill Cuvee PN 2008</t>
  </si>
  <si>
    <t>WS91/RP91</t>
  </si>
  <si>
    <t>DOM-1706-MB-PN</t>
  </si>
  <si>
    <t>Mark Bradford Vineyard Pinot Noir 2017</t>
  </si>
  <si>
    <t>奧勒岡州雄鷹酒莊馬克布福黑皮諾 / 6瓶紙箱</t>
  </si>
  <si>
    <t>ELK-0806-PN-RE</t>
  </si>
  <si>
    <t>Pinot Noir Reserve 2008</t>
  </si>
  <si>
    <t>奧勒岡州麋鹿酒莊頂級黑皮諾</t>
  </si>
  <si>
    <t>WS92/RP94</t>
  </si>
  <si>
    <t>ELK-0903-MR-PN</t>
  </si>
  <si>
    <t>Pinot Noir Mount Richmond 2009</t>
  </si>
  <si>
    <t>奧勒岡州麋鹿酒莊蒙里奇黑皮諾</t>
  </si>
  <si>
    <t>WS Not Released</t>
  </si>
  <si>
    <t>MOR-1204-PN</t>
  </si>
  <si>
    <t>Joli Coeur Sonoma Coast,Pinot Noir 2012</t>
  </si>
  <si>
    <t>美國甜心黑皮諾紅酒  (日本首相) / 6瓶紙箱</t>
  </si>
  <si>
    <t>RP92+</t>
  </si>
  <si>
    <t>JD-2022-JD-KAB</t>
  </si>
  <si>
    <t>Gewurztraminer Kabinett/J. Drathen label  2020</t>
  </si>
  <si>
    <r>
      <rPr>
        <rFont val="PMingLiu"/>
        <b/>
        <color rgb="FF000000"/>
        <sz val="11.0"/>
      </rPr>
      <t>格烏茲塔明那微甜白葡萄酒</t>
    </r>
    <r>
      <rPr>
        <rFont val="新細明體"/>
        <b/>
        <color rgb="FFFF0000"/>
        <sz val="11.0"/>
      </rPr>
      <t>(螺旋瓶)</t>
    </r>
  </si>
  <si>
    <t>GCA-2203-TO</t>
  </si>
  <si>
    <t>Amalaya Torrontes-Resling2022</t>
  </si>
  <si>
    <r>
      <rPr>
        <rFont val="PMingLiu"/>
        <b/>
        <color rgb="FF000000"/>
        <sz val="11.0"/>
      </rPr>
      <t>奇蹟特濃情白葡萄酒</t>
    </r>
    <r>
      <rPr>
        <rFont val="新細明體"/>
        <b/>
        <color rgb="FFFF0000"/>
        <sz val="11.0"/>
      </rPr>
      <t xml:space="preserve">(螺旋瓶) </t>
    </r>
    <r>
      <rPr>
        <rFont val="新細明體"/>
        <b/>
        <color rgb="FF000000"/>
        <sz val="11.0"/>
      </rPr>
      <t>/ 6瓶紙箱</t>
    </r>
  </si>
  <si>
    <t>庫存量/瓶</t>
  </si>
  <si>
    <t>級數酒</t>
  </si>
  <si>
    <t>＊Saint-Emilion</t>
  </si>
  <si>
    <t>MD078-20-GCCA</t>
  </si>
  <si>
    <t xml:space="preserve">CH AUSONE 2020
</t>
  </si>
  <si>
    <r>
      <rPr>
        <rFont val="PMingLiu"/>
        <b/>
        <color rgb="FF000000"/>
        <sz val="11.0"/>
      </rPr>
      <t>歐頌城堡</t>
    </r>
    <r>
      <rPr>
        <rFont val="新細明體"/>
        <b/>
        <color rgb="FFFF0000"/>
        <sz val="11.0"/>
      </rPr>
      <t>(單一木盒)</t>
    </r>
  </si>
  <si>
    <t>RP95+/JS99</t>
  </si>
  <si>
    <t>JPM079-15-GCCA</t>
  </si>
  <si>
    <t>Chateau Cheval Blanc, 1er Grand Cru Classe 2015</t>
  </si>
  <si>
    <t>白馬堡-6入木箱</t>
  </si>
  <si>
    <t>RP100/JS99
WE98/WE100</t>
  </si>
  <si>
    <t>MG079-18-GCCA</t>
  </si>
  <si>
    <t>Chateau Cheval Blanc, 1er Grand Cru Classe 2018</t>
  </si>
  <si>
    <t>RP98+/JS99
WS97</t>
  </si>
  <si>
    <t>MD079-20-GCCA</t>
  </si>
  <si>
    <t>Chateau Cheval Blanc, 1er Grand Cru Classe 2020</t>
  </si>
  <si>
    <r>
      <rPr>
        <rFont val="PMingLiu"/>
        <b/>
        <color rgb="FF000000"/>
        <sz val="11.0"/>
      </rPr>
      <t>白馬堡</t>
    </r>
    <r>
      <rPr>
        <rFont val="新細明體"/>
        <b/>
        <color rgb="FFFF0000"/>
        <sz val="11.0"/>
      </rPr>
      <t>(單一木盒)</t>
    </r>
  </si>
  <si>
    <t>RP96/JS98</t>
  </si>
  <si>
    <t>DI087-16-GCCA</t>
  </si>
  <si>
    <t>Chateau Angelus 2016</t>
  </si>
  <si>
    <t>金鐘城堡-6入木箱</t>
  </si>
  <si>
    <t>JS99-100/RP96-98</t>
  </si>
  <si>
    <t>MD087-20-GCCA</t>
  </si>
  <si>
    <t xml:space="preserve">CH ANGELUS 2020
</t>
  </si>
  <si>
    <r>
      <rPr>
        <rFont val="PMingLiu"/>
        <b/>
        <color rgb="FF000000"/>
        <sz val="11.0"/>
      </rPr>
      <t>金鐘城堡</t>
    </r>
    <r>
      <rPr>
        <rFont val="新細明體"/>
        <b/>
        <color rgb="FFFF0000"/>
        <sz val="11.0"/>
      </rPr>
      <t>(單一木盒)</t>
    </r>
  </si>
  <si>
    <t>RP97/99</t>
  </si>
  <si>
    <t>MG087-21-GCCA</t>
  </si>
  <si>
    <r>
      <rPr>
        <rFont val="PMingLiu"/>
        <b/>
        <color theme="1"/>
        <sz val="11.0"/>
      </rPr>
      <t xml:space="preserve">CH ANGELUS  2021                                                        </t>
    </r>
  </si>
  <si>
    <r>
      <rPr>
        <rFont val="PMingLiu"/>
        <b/>
        <color theme="1"/>
        <sz val="11.0"/>
      </rPr>
      <t>金鐘城堡-</t>
    </r>
    <r>
      <rPr>
        <rFont val="新細明體"/>
        <b/>
        <color rgb="FFFF0000"/>
        <sz val="11.0"/>
      </rPr>
      <t>3入木盒</t>
    </r>
  </si>
  <si>
    <t>RP94+/JS95/WE96</t>
  </si>
  <si>
    <t>MD089-18-GCCA</t>
  </si>
  <si>
    <t>Chateau Pavie 2018</t>
  </si>
  <si>
    <t>帕維城堡-6入木箱</t>
  </si>
  <si>
    <t>RP99/JS98/WS99</t>
  </si>
  <si>
    <t>MG089-19-GCCA</t>
  </si>
  <si>
    <t>Chateau Pavie 2019</t>
  </si>
  <si>
    <t>RP94+/JA98</t>
  </si>
  <si>
    <t>MD089-19-GCCA</t>
  </si>
  <si>
    <t>MG089-20-GCCA</t>
  </si>
  <si>
    <t xml:space="preserve">CH PAVIE 2020
</t>
  </si>
  <si>
    <r>
      <rPr>
        <rFont val="PMingLiu"/>
        <b/>
        <color rgb="FF000000"/>
        <sz val="11.0"/>
      </rPr>
      <t>帕維城堡</t>
    </r>
    <r>
      <rPr>
        <rFont val="新細明體"/>
        <b/>
        <color rgb="FFFF0000"/>
        <sz val="11.0"/>
      </rPr>
      <t>(單一木盒)</t>
    </r>
  </si>
  <si>
    <t>RP99/JS100</t>
  </si>
  <si>
    <t>MD089-20-GCCA</t>
  </si>
  <si>
    <r>
      <rPr>
        <rFont val="PMingLiu"/>
        <b/>
        <color rgb="FF000000"/>
        <sz val="11.0"/>
      </rPr>
      <t>帕維城堡</t>
    </r>
    <r>
      <rPr>
        <rFont val="新細明體"/>
        <b/>
        <color rgb="FFFF0000"/>
        <sz val="11.0"/>
      </rPr>
      <t>(單一木盒)</t>
    </r>
  </si>
  <si>
    <t>MG089-21-GCCA</t>
  </si>
  <si>
    <t xml:space="preserve">CH PAVIE 1ER G.C.C. A 2021                              </t>
  </si>
  <si>
    <t>JS97/WS94</t>
  </si>
  <si>
    <t>MD227-20-GCCA</t>
  </si>
  <si>
    <t xml:space="preserve">VIEUX CHATEAU CERTAN 2020
</t>
  </si>
  <si>
    <r>
      <rPr>
        <rFont val="PMingLiu"/>
        <b/>
        <color rgb="FF000000"/>
        <sz val="11.0"/>
      </rPr>
      <t>老色丹城堡</t>
    </r>
    <r>
      <rPr>
        <rFont val="新細明體"/>
        <b/>
        <color rgb="FFFF0000"/>
        <sz val="11.0"/>
      </rPr>
      <t>(單一木盒)</t>
    </r>
  </si>
  <si>
    <t>MD087-18-GCCAS</t>
  </si>
  <si>
    <t>CARILLON DE L'ANGELUS 2018</t>
  </si>
  <si>
    <t>金鐘城堡副牌-6入木箱</t>
  </si>
  <si>
    <t>RP91/ JS95</t>
  </si>
  <si>
    <t>MD087-20-GCCAS</t>
  </si>
  <si>
    <t>CARILLON DE L'ANGELUS 2020</t>
  </si>
  <si>
    <r>
      <rPr>
        <rFont val="PMingLiu"/>
        <b/>
        <color rgb="FF000000"/>
        <sz val="11.0"/>
      </rPr>
      <t>金鐘城堡副牌-</t>
    </r>
    <r>
      <rPr>
        <rFont val="新細明體"/>
        <b/>
        <color rgb="FFFF0000"/>
        <sz val="11.0"/>
      </rPr>
      <t>3入木盒</t>
    </r>
  </si>
  <si>
    <t>RP92/JS95</t>
  </si>
  <si>
    <t>MD089-20-GCCAS</t>
  </si>
  <si>
    <t xml:space="preserve">AROMES DE PAVIE (LES) 2020
</t>
  </si>
  <si>
    <t>帕維城堡副牌-6入木箱</t>
  </si>
  <si>
    <t>MS082-20-GCCB</t>
  </si>
  <si>
    <t xml:space="preserve">CH CANON 2020
</t>
  </si>
  <si>
    <t>卡農城堡-6入木箱</t>
  </si>
  <si>
    <t>RP100/JS98</t>
  </si>
  <si>
    <t>MG082-20-GCCB</t>
  </si>
  <si>
    <r>
      <rPr>
        <rFont val="PMingLiu"/>
        <b/>
        <color rgb="FF000000"/>
        <sz val="11.0"/>
      </rPr>
      <t>卡農城堡-</t>
    </r>
    <r>
      <rPr>
        <rFont val="新細明體"/>
        <b/>
        <color rgb="FFFF0000"/>
        <sz val="11.0"/>
      </rPr>
      <t>3入木盒</t>
    </r>
  </si>
  <si>
    <t>MD082-20-GCCB</t>
  </si>
  <si>
    <r>
      <rPr>
        <rFont val="PMingLiu"/>
        <b/>
        <color rgb="FF000000"/>
        <sz val="11.0"/>
      </rPr>
      <t>DU082-21-GCC</t>
    </r>
    <r>
      <rPr>
        <rFont val="新細明體"/>
        <b/>
        <color rgb="FF000000"/>
        <sz val="11.0"/>
      </rPr>
      <t>B</t>
    </r>
  </si>
  <si>
    <r>
      <rPr>
        <rFont val="PMingLiu"/>
        <b/>
        <color theme="1"/>
        <sz val="11.0"/>
      </rPr>
      <t xml:space="preserve">Château CANON2021                                           </t>
    </r>
  </si>
  <si>
    <t>RP95/JS97</t>
  </si>
  <si>
    <r>
      <rPr>
        <rFont val="PMingLiu"/>
        <b/>
        <color rgb="FF000000"/>
        <sz val="11.0"/>
      </rPr>
      <t>MD082-21-GCC</t>
    </r>
    <r>
      <rPr>
        <rFont val="新細明體"/>
        <b/>
        <color rgb="FF000000"/>
        <sz val="11.0"/>
      </rPr>
      <t>B</t>
    </r>
  </si>
  <si>
    <t xml:space="preserve">CHATEAU CANON  2021                                                         </t>
  </si>
  <si>
    <t>MD083-20-GCCB</t>
  </si>
  <si>
    <t xml:space="preserve">CLOS FOURTET 2020
</t>
  </si>
  <si>
    <t>福特園城堡-6入木箱</t>
  </si>
  <si>
    <t>RP94/JS97</t>
  </si>
  <si>
    <t>MD084-18-GCCB</t>
  </si>
  <si>
    <t>Chateau Figeac  2018</t>
  </si>
  <si>
    <t>菲雅克城堡-6入木箱</t>
  </si>
  <si>
    <t>RP97+/JS98/WS96</t>
  </si>
  <si>
    <t>MD084-19-GCCB</t>
  </si>
  <si>
    <t>Chateau Figeac  2019</t>
  </si>
  <si>
    <t>RP97/JA98</t>
  </si>
  <si>
    <t>MD084-20-GCCB</t>
  </si>
  <si>
    <t>Chateau Figeac  2020</t>
  </si>
  <si>
    <r>
      <rPr>
        <rFont val="PMingLiu"/>
        <b/>
        <color rgb="FF000000"/>
        <sz val="11.0"/>
      </rPr>
      <t>菲雅克城堡</t>
    </r>
    <r>
      <rPr>
        <rFont val="新細明體"/>
        <b/>
        <color rgb="FFFF0000"/>
        <sz val="11.0"/>
      </rPr>
      <t>(單一木盒)</t>
    </r>
  </si>
  <si>
    <t>RP100/JS100</t>
  </si>
  <si>
    <t>MD085-20-GCCB</t>
  </si>
  <si>
    <t xml:space="preserve">CH GAFFELIERE (LA)
</t>
  </si>
  <si>
    <t>嘉法葉城堡-6入木箱</t>
  </si>
  <si>
    <t>MD127-20-GCCB</t>
  </si>
  <si>
    <t xml:space="preserve">CH LARCIS DUCASSE 2020
</t>
  </si>
  <si>
    <t>拉西斯．杜卡斯城堡-6入木箱</t>
  </si>
  <si>
    <t>MD135-20-GCCB</t>
  </si>
  <si>
    <t xml:space="preserve">CH PAVIE MACQUIN 2020
</t>
  </si>
  <si>
    <t>帕維麥昆城堡-6入木箱</t>
  </si>
  <si>
    <t>RP95/JS98</t>
  </si>
  <si>
    <t>MD149-20-GCCB</t>
  </si>
  <si>
    <t xml:space="preserve">CH TROPLONG MONDOT 2020
</t>
  </si>
  <si>
    <t>特洛朗蒙度城堡-6入木箱</t>
  </si>
  <si>
    <t>RP98+/JS97</t>
  </si>
  <si>
    <t>MS231-20-GCCB</t>
  </si>
  <si>
    <t xml:space="preserve">CH Valandraud 2020
</t>
  </si>
  <si>
    <t>瓦倫卓堡-6入木箱</t>
  </si>
  <si>
    <t>RP92/JS99</t>
  </si>
  <si>
    <t>MS231-20-GCCBS</t>
  </si>
  <si>
    <t xml:space="preserve">Virginie de Valandraud 2020
</t>
  </si>
  <si>
    <t>瓦倫卓堡副牌-6入木箱</t>
  </si>
  <si>
    <t>RP93/JS94</t>
  </si>
  <si>
    <t>MD064-20-GCCG</t>
  </si>
  <si>
    <t xml:space="preserve">CH PAPE CLEMENT 2020
</t>
  </si>
  <si>
    <t>黑教皇城堡-6入木箱</t>
  </si>
  <si>
    <t>RP94+/JS98</t>
  </si>
  <si>
    <t>MS071-20-GCCG</t>
  </si>
  <si>
    <r>
      <rPr>
        <rFont val="PMingLiu"/>
        <b/>
        <color theme="1"/>
        <sz val="11.0"/>
      </rPr>
      <t xml:space="preserve">DOMAINE DE CHEVALIER PESSAC LEOGNAN ROUGE
</t>
    </r>
  </si>
  <si>
    <t>騎士堡 2020-6入木箱</t>
  </si>
  <si>
    <t>MS075-20-GCCG</t>
  </si>
  <si>
    <r>
      <rPr>
        <rFont val="PMingLiu"/>
        <b/>
        <color theme="1"/>
        <sz val="11.0"/>
      </rPr>
      <t xml:space="preserve">CH Smith Haut Lafitte Red 2020
</t>
    </r>
  </si>
  <si>
    <r>
      <rPr>
        <rFont val="PMingLiu"/>
        <b/>
        <color rgb="FF000000"/>
        <sz val="11.0"/>
      </rPr>
      <t>史密斯拉菲城堡</t>
    </r>
    <r>
      <rPr>
        <rFont val="新細明體"/>
        <b/>
        <color rgb="FFFF0000"/>
        <sz val="11.0"/>
      </rPr>
      <t>(單一木盒)</t>
    </r>
  </si>
  <si>
    <r>
      <rPr>
        <rFont val="PMingLiu"/>
        <b/>
        <color theme="1"/>
        <sz val="11.0"/>
      </rPr>
      <t xml:space="preserve">RP95+/JS99
</t>
    </r>
    <r>
      <rPr>
        <rFont val="新細明體"/>
        <b/>
        <color rgb="FF000000"/>
        <sz val="11.0"/>
      </rPr>
      <t>紀念金標</t>
    </r>
  </si>
  <si>
    <t>MD075-20-GCCG</t>
  </si>
  <si>
    <r>
      <rPr>
        <rFont val="PMingLiu"/>
        <b/>
        <color theme="1"/>
        <sz val="11.0"/>
      </rPr>
      <t xml:space="preserve">CH Smith Haut Lafitte Red 2020
</t>
    </r>
  </si>
  <si>
    <r>
      <rPr>
        <rFont val="PMingLiu"/>
        <b/>
        <color rgb="FF000000"/>
        <sz val="11.0"/>
      </rPr>
      <t>史密斯拉菲城堡</t>
    </r>
    <r>
      <rPr>
        <rFont val="新細明體"/>
        <b/>
        <color rgb="FFFF0000"/>
        <sz val="11.0"/>
      </rPr>
      <t>(單一木盒)</t>
    </r>
  </si>
  <si>
    <r>
      <rPr>
        <rFont val="PMingLiu"/>
        <b/>
        <color theme="1"/>
        <sz val="11.0"/>
      </rPr>
      <t xml:space="preserve">RP95+/JS99
</t>
    </r>
    <r>
      <rPr>
        <rFont val="新細明體"/>
        <b/>
        <color rgb="FF000000"/>
        <sz val="11.0"/>
      </rPr>
      <t>紀念金標</t>
    </r>
  </si>
  <si>
    <t>LD219-19-GCC</t>
  </si>
  <si>
    <t xml:space="preserve">Chateau Grand Corbin 2019                                     </t>
  </si>
  <si>
    <t>大柯賓城堡-6入木箱</t>
  </si>
  <si>
    <t>RP87~89/JS94</t>
  </si>
  <si>
    <t>MS300-19-SE</t>
  </si>
  <si>
    <r>
      <rPr>
        <rFont val="PMingLiu"/>
        <b/>
        <color rgb="FF000000"/>
        <sz val="11.0"/>
      </rPr>
      <t xml:space="preserve">CH FLEUR CARDINALE 2019                                           </t>
    </r>
  </si>
  <si>
    <t>花園主教城堡-6入木箱</t>
  </si>
  <si>
    <t>MS300-20-SE-MG</t>
  </si>
  <si>
    <r>
      <rPr>
        <rFont val="PMingLiu"/>
        <b/>
        <color rgb="FF000000"/>
        <sz val="11.0"/>
      </rPr>
      <t>CH FLEUR CARDINALE 2020</t>
    </r>
    <r>
      <rPr>
        <rFont val="新細明體"/>
        <b/>
        <color rgb="FFFF0000"/>
        <sz val="11.0"/>
      </rPr>
      <t>(1.5ML)</t>
    </r>
  </si>
  <si>
    <r>
      <rPr>
        <rFont val="PMingLiu"/>
        <b/>
        <color rgb="FF000000"/>
        <sz val="11.0"/>
      </rPr>
      <t>花園主教城堡</t>
    </r>
    <r>
      <rPr>
        <rFont val="新細明體"/>
        <b/>
        <color rgb="FFFF0000"/>
        <sz val="11.0"/>
      </rPr>
      <t xml:space="preserve">(單一木盒) </t>
    </r>
  </si>
  <si>
    <t>RP95/JS96</t>
  </si>
  <si>
    <r>
      <rPr>
        <rFont val="新細明體"/>
        <b/>
        <color rgb="FFFF00FF"/>
        <sz val="18.0"/>
      </rPr>
      <t>＊Pessac-Leognan</t>
    </r>
  </si>
  <si>
    <t>SA063-02-G</t>
  </si>
  <si>
    <t>CH. La Mission Haut Brion 2002</t>
  </si>
  <si>
    <t>教堂城堡-木箱</t>
  </si>
  <si>
    <t>WS91/ RP89</t>
  </si>
  <si>
    <t>MD069-19-GCCG</t>
  </si>
  <si>
    <t xml:space="preserve">CH HAUT BAILLY 2019                                              </t>
  </si>
  <si>
    <t>歐貝力城堡-6入木箱</t>
  </si>
  <si>
    <t>RP96+ /JA99</t>
  </si>
  <si>
    <t>MG069-20-GCCG</t>
  </si>
  <si>
    <t xml:space="preserve">CH HAUT BAILLY 2020
</t>
  </si>
  <si>
    <r>
      <rPr>
        <rFont val="PMingLiu"/>
        <b/>
        <color rgb="FF000000"/>
        <sz val="11.0"/>
      </rPr>
      <t>歐貝力城堡-</t>
    </r>
    <r>
      <rPr>
        <rFont val="新細明體"/>
        <b/>
        <color rgb="FFFF0000"/>
        <sz val="11.0"/>
      </rPr>
      <t>3入木盒</t>
    </r>
  </si>
  <si>
    <t>RP94+/JS100</t>
  </si>
  <si>
    <t>MD069-20-GCCG</t>
  </si>
  <si>
    <t>DI065-15-GCCGS</t>
  </si>
  <si>
    <t>La Chapelle de Mission Haut-Brion 2015</t>
  </si>
  <si>
    <t>教會歐布里翁城堡副牌-6入木箱</t>
  </si>
  <si>
    <t>RP92/WS93/WE93</t>
  </si>
  <si>
    <t>MD069-19-GCCGS</t>
  </si>
  <si>
    <t xml:space="preserve">HAUT BAILLY II 2019                                             </t>
  </si>
  <si>
    <t>歐貝力城堡副牌-6入木箱</t>
  </si>
  <si>
    <t>RP90/JA94</t>
  </si>
  <si>
    <t>MD069-20-GCCGS</t>
  </si>
  <si>
    <t>HAUT BAILLY II 2020</t>
  </si>
  <si>
    <t>89+/96</t>
  </si>
  <si>
    <r>
      <rPr>
        <rFont val="新細明體"/>
        <b/>
        <color rgb="FFFF00FF"/>
        <sz val="18.0"/>
      </rPr>
      <t>＊Pomerol</t>
    </r>
  </si>
  <si>
    <t>JPM403-20-POM</t>
  </si>
  <si>
    <t xml:space="preserve">Château LA FLEUR-PÉTRUS2020                                                          </t>
  </si>
  <si>
    <r>
      <rPr>
        <rFont val="PMingLiu"/>
        <b/>
        <color theme="1"/>
        <sz val="11.0"/>
      </rPr>
      <t>柏翠花城堡</t>
    </r>
    <r>
      <rPr>
        <rFont val="新細明體"/>
        <b/>
        <color rgb="FFFF0000"/>
        <sz val="11.0"/>
      </rPr>
      <t>(單一木盒)</t>
    </r>
  </si>
  <si>
    <t>RP96/JS100               WS93</t>
  </si>
  <si>
    <t>JPM404-15-POM</t>
  </si>
  <si>
    <t>Château BOURGNEUF2015</t>
  </si>
  <si>
    <t>布聶夫城堡-12入木箱</t>
  </si>
  <si>
    <t>RP89/ JS95 /WS92</t>
  </si>
  <si>
    <t>JPM404-16-POM</t>
  </si>
  <si>
    <t>Château BOURGNEUF2016</t>
  </si>
  <si>
    <t>RP94 /JS93 /WS92</t>
  </si>
  <si>
    <t>JPM404-20-POM</t>
  </si>
  <si>
    <r>
      <rPr>
        <rFont val="PMingLiu"/>
        <b/>
        <color theme="1"/>
        <sz val="11.0"/>
      </rPr>
      <t xml:space="preserve">Château BOURGNEUF2020                                                       </t>
    </r>
  </si>
  <si>
    <t>布聶夫城堡-6入木箱</t>
  </si>
  <si>
    <t>RP86/JS96/ WS91</t>
  </si>
  <si>
    <t>JPM404-21-POM</t>
  </si>
  <si>
    <r>
      <rPr>
        <rFont val="PMingLiu"/>
        <b/>
        <color theme="1"/>
        <sz val="11.0"/>
      </rPr>
      <t xml:space="preserve">Château BOURGNEUF2021                                                </t>
    </r>
  </si>
  <si>
    <t>RP91+/JS92</t>
  </si>
  <si>
    <t>JPM406-15-POM</t>
  </si>
  <si>
    <t>Chateau Lafleur 2015</t>
  </si>
  <si>
    <t>花堡-6入木箱</t>
  </si>
  <si>
    <t>RP100   JS100</t>
  </si>
  <si>
    <t>JPM407-15-POM</t>
  </si>
  <si>
    <t>Chateau Certan de May 2015</t>
  </si>
  <si>
    <t>德美色丹城堡-6入木箱</t>
  </si>
  <si>
    <t>RP95/WS92/WE94</t>
  </si>
  <si>
    <t>MD215-20-POM</t>
  </si>
  <si>
    <t xml:space="preserve">CH NENIN 2020
</t>
  </si>
  <si>
    <t>聶能城堡-6入木箱</t>
  </si>
  <si>
    <t>RP93+/JS97</t>
  </si>
  <si>
    <t>MD226-20-POM</t>
  </si>
  <si>
    <r>
      <rPr>
        <rFont val="PMingLiu"/>
        <b/>
        <color theme="1"/>
        <sz val="11.0"/>
      </rPr>
      <t xml:space="preserve">CH CONSEILLANTE (LA) 2020
</t>
    </r>
  </si>
  <si>
    <r>
      <rPr>
        <rFont val="PMingLiu"/>
        <b/>
        <color rgb="FF000000"/>
        <sz val="11.0"/>
      </rPr>
      <t>康瑟雍城堡</t>
    </r>
    <r>
      <rPr>
        <rFont val="新細明體"/>
        <b/>
        <color rgb="FFFF0000"/>
        <sz val="11.0"/>
      </rPr>
      <t>(單一木盒)</t>
    </r>
  </si>
  <si>
    <t>RP100/JS99</t>
  </si>
  <si>
    <r>
      <rPr>
        <rFont val="新細明體"/>
        <b/>
        <color rgb="FFFF00FF"/>
        <sz val="18.0"/>
      </rPr>
      <t>＊一級酒莊</t>
    </r>
  </si>
  <si>
    <t>JA001-08-G1</t>
  </si>
  <si>
    <t>CH LAFITE ROTHSCHILD 2008</t>
  </si>
  <si>
    <t>拉菲城堡-12入木箱</t>
  </si>
  <si>
    <t>MD001-19-G1</t>
  </si>
  <si>
    <t xml:space="preserve">CH LAFITE ROTHSCHILD 2019 </t>
  </si>
  <si>
    <t>拉菲城堡 -6入木箱</t>
  </si>
  <si>
    <t>MD001-20-G1</t>
  </si>
  <si>
    <t>CH LAFITE ROTHSCHILD 2020</t>
  </si>
  <si>
    <r>
      <rPr>
        <rFont val="PMingLiu"/>
        <b/>
        <color rgb="FF000000"/>
        <sz val="11.0"/>
      </rPr>
      <t>拉菲城堡</t>
    </r>
    <r>
      <rPr>
        <rFont val="新細明體"/>
        <b/>
        <color rgb="FFFF0000"/>
        <sz val="11.0"/>
      </rPr>
      <t>(單一木盒)</t>
    </r>
  </si>
  <si>
    <t>RP97/JS100</t>
  </si>
  <si>
    <t>MD001-21-G1</t>
  </si>
  <si>
    <t xml:space="preserve">CH LAFITE ROTHSCHILD  2021                                   </t>
  </si>
  <si>
    <t>拉菲城堡-6入木箱</t>
  </si>
  <si>
    <t>RP96+/JS97/WE98</t>
  </si>
  <si>
    <t>DI002-15-G1</t>
  </si>
  <si>
    <t>CH MARGAUX  2015</t>
  </si>
  <si>
    <t>瑪歌城堡-6入木箱(紀念瓶)</t>
  </si>
  <si>
    <t>JS100/RP99
WS99/WE100</t>
  </si>
  <si>
    <t>DI002-16-G1</t>
  </si>
  <si>
    <t>CH MARGAUX  2016</t>
  </si>
  <si>
    <t>瑪歌城堡-6入木箱</t>
  </si>
  <si>
    <t>JS99/RP99
WE99/WS97</t>
  </si>
  <si>
    <t>MG002-18-G1</t>
  </si>
  <si>
    <t>CH MARGAUX 2018</t>
  </si>
  <si>
    <t>RP100/JS100
WS98</t>
  </si>
  <si>
    <t>MG002-19-G1</t>
  </si>
  <si>
    <t>CH MARGAUX 2019</t>
  </si>
  <si>
    <t>MS002-19-G1</t>
  </si>
  <si>
    <t>MD002-19-G1</t>
  </si>
  <si>
    <t>MG002-20-G1</t>
  </si>
  <si>
    <t xml:space="preserve">CH MARGAUX 2020
</t>
  </si>
  <si>
    <r>
      <rPr>
        <rFont val="PMingLiu"/>
        <b/>
        <color rgb="FF000000"/>
        <sz val="11.0"/>
      </rPr>
      <t>瑪歌城堡</t>
    </r>
    <r>
      <rPr>
        <rFont val="新細明體"/>
        <b/>
        <color rgb="FFFF0000"/>
        <sz val="11.0"/>
      </rPr>
      <t>(單一木盒)</t>
    </r>
  </si>
  <si>
    <t>RP97+/JS100</t>
  </si>
  <si>
    <t>MS002-20-G1</t>
  </si>
  <si>
    <r>
      <rPr>
        <rFont val="PMingLiu"/>
        <b/>
        <color rgb="FF000000"/>
        <sz val="11.0"/>
      </rPr>
      <t>瑪歌城堡</t>
    </r>
    <r>
      <rPr>
        <rFont val="新細明體"/>
        <b/>
        <color rgb="FFFF0000"/>
        <sz val="11.0"/>
      </rPr>
      <t>(單一木盒)</t>
    </r>
  </si>
  <si>
    <t>MD002-20-G1</t>
  </si>
  <si>
    <t>CH MARGAUX 2020</t>
  </si>
  <si>
    <r>
      <rPr>
        <rFont val="PMingLiu"/>
        <b/>
        <color rgb="FF000000"/>
        <sz val="11.0"/>
      </rPr>
      <t>瑪歌城堡</t>
    </r>
    <r>
      <rPr>
        <rFont val="新細明體"/>
        <b/>
        <color rgb="FFFF0000"/>
        <sz val="11.0"/>
      </rPr>
      <t>(單一木盒)</t>
    </r>
  </si>
  <si>
    <t>MS002-21-G1</t>
  </si>
  <si>
    <r>
      <rPr>
        <rFont val="PMingLiu"/>
        <b/>
        <color theme="1"/>
        <sz val="11.0"/>
      </rPr>
      <t xml:space="preserve">CHAT MARGAUX  2021                                                            </t>
    </r>
  </si>
  <si>
    <r>
      <rPr>
        <rFont val="PMingLiu"/>
        <b/>
        <color theme="1"/>
        <sz val="11.0"/>
      </rPr>
      <t>瑪歌城堡-</t>
    </r>
    <r>
      <rPr>
        <rFont val="新細明體"/>
        <b/>
        <color rgb="FFFF0000"/>
        <sz val="11.0"/>
      </rPr>
      <t>3入木盒</t>
    </r>
  </si>
  <si>
    <t>RP95+/JS98/WE98</t>
  </si>
  <si>
    <t>MD002-21-G1</t>
  </si>
  <si>
    <r>
      <rPr>
        <rFont val="PMingLiu"/>
        <b/>
        <color theme="1"/>
        <sz val="11.0"/>
      </rPr>
      <t xml:space="preserve">CHAT MARGAUX 2021                                                         </t>
    </r>
  </si>
  <si>
    <r>
      <rPr>
        <rFont val="PMingLiu"/>
        <b/>
        <color theme="1"/>
        <sz val="11.0"/>
      </rPr>
      <t>瑪歌城堡-</t>
    </r>
    <r>
      <rPr>
        <rFont val="新細明體"/>
        <b/>
        <color rgb="FFFF0000"/>
        <sz val="11.0"/>
      </rPr>
      <t>3入木盒</t>
    </r>
  </si>
  <si>
    <t>MG003-11-G1</t>
  </si>
  <si>
    <t>Ch Latour 2011</t>
  </si>
  <si>
    <t>拉圖城堡-6入木箱</t>
  </si>
  <si>
    <t>RP95/WE97/WS96</t>
  </si>
  <si>
    <r>
      <rPr>
        <rFont val="新細明體"/>
        <color rgb="FF0000FF"/>
        <sz val="10.0"/>
        <u/>
      </rPr>
      <t>售聯華</t>
    </r>
    <r>
      <rPr>
        <rFont val="MS Sans Serif"/>
        <color rgb="FF0000FF"/>
        <sz val="10.0"/>
        <u/>
      </rPr>
      <t>3</t>
    </r>
    <r>
      <rPr>
        <rFont val="新細明體"/>
        <color rgb="FF0000FF"/>
        <sz val="10.0"/>
        <u/>
      </rPr>
      <t>瓶</t>
    </r>
    <r>
      <rPr>
        <rFont val="MS Sans Serif"/>
        <color rgb="FF0000FF"/>
        <sz val="10.0"/>
        <u/>
      </rPr>
      <t>@25500</t>
    </r>
  </si>
  <si>
    <t>MD003-15-G1</t>
  </si>
  <si>
    <t>CH LATOUR 2015</t>
  </si>
  <si>
    <t>RP96/JS97</t>
  </si>
  <si>
    <t>GH004-11-G1</t>
  </si>
  <si>
    <t>Ch Haut Brion 2011</t>
  </si>
  <si>
    <t>歐布里翁城堡-6入木箱</t>
  </si>
  <si>
    <t>WS95/RP95</t>
  </si>
  <si>
    <t>DI004-16-G1</t>
  </si>
  <si>
    <t>Ch Haut Brion 2016</t>
  </si>
  <si>
    <t>JS100/RP100
WE100/WS98</t>
  </si>
  <si>
    <t>MD004-19-G1</t>
  </si>
  <si>
    <t>CH HAUT BRION 2019</t>
  </si>
  <si>
    <r>
      <rPr>
        <rFont val="PMingLiu"/>
        <b/>
        <color rgb="FF000000"/>
        <sz val="11.0"/>
      </rPr>
      <t xml:space="preserve">歐布里翁城堡 </t>
    </r>
    <r>
      <rPr>
        <rFont val="新細明體"/>
        <b/>
        <color rgb="FF000000"/>
        <sz val="11.0"/>
      </rPr>
      <t>6入木箱</t>
    </r>
  </si>
  <si>
    <t>RP97+ / JS99</t>
  </si>
  <si>
    <t>MD004-20-G1</t>
  </si>
  <si>
    <t>CH HAUT BRION 2020</t>
  </si>
  <si>
    <r>
      <rPr>
        <rFont val="PMingLiu"/>
        <b/>
        <color rgb="FF000000"/>
        <sz val="11.0"/>
      </rPr>
      <t>歐布里翁城堡</t>
    </r>
    <r>
      <rPr>
        <rFont val="新細明體"/>
        <b/>
        <color rgb="FFFF0000"/>
        <sz val="11.0"/>
      </rPr>
      <t>(單一木盒)</t>
    </r>
  </si>
  <si>
    <t>RP99/JS98</t>
  </si>
  <si>
    <t>MD004-21-G1</t>
  </si>
  <si>
    <r>
      <rPr>
        <rFont val="PMingLiu"/>
        <b/>
        <color theme="1"/>
        <sz val="11.0"/>
      </rPr>
      <t xml:space="preserve">CHATEAU HAUT BRION 2021                                              </t>
    </r>
  </si>
  <si>
    <r>
      <rPr>
        <rFont val="PMingLiu"/>
        <b/>
        <color theme="1"/>
        <sz val="11.0"/>
      </rPr>
      <t>歐布里翁城堡-</t>
    </r>
    <r>
      <rPr>
        <rFont val="新細明體"/>
        <b/>
        <color rgb="FFFF0000"/>
        <sz val="11.0"/>
      </rPr>
      <t>3入木盒</t>
    </r>
  </si>
  <si>
    <t>RP97+/JS97/WE98</t>
  </si>
  <si>
    <t>DI005-16-G1</t>
  </si>
  <si>
    <t>CH. Mouton Rothschild 2016</t>
  </si>
  <si>
    <t>木桐城堡-6入木箱</t>
  </si>
  <si>
    <t>JS95/RP100
WE98/WS98</t>
  </si>
  <si>
    <t>MS005-16-G1</t>
  </si>
  <si>
    <t>MG005-18-G1</t>
  </si>
  <si>
    <t>CH. Mouton Rothschild 2018</t>
  </si>
  <si>
    <t>RP99 /JS100 /WS98</t>
  </si>
  <si>
    <t>MD005-19-G1</t>
  </si>
  <si>
    <t>CH. Mouton Rothschild 2019</t>
  </si>
  <si>
    <r>
      <rPr>
        <rFont val="PMingLiu"/>
        <b/>
        <color theme="1"/>
        <sz val="11.0"/>
      </rPr>
      <t>木桐城堡-</t>
    </r>
    <r>
      <rPr>
        <rFont val="新細明體"/>
        <b/>
        <color rgb="FFFF0000"/>
        <sz val="11.0"/>
      </rPr>
      <t>3入木盒</t>
    </r>
  </si>
  <si>
    <t>RP98+ / JS99</t>
  </si>
  <si>
    <t>MG005-20-G1</t>
  </si>
  <si>
    <t>CH. Mouton Rothschild 2020</t>
  </si>
  <si>
    <r>
      <rPr>
        <rFont val="PMingLiu"/>
        <b/>
        <color theme="1"/>
        <sz val="11.0"/>
      </rPr>
      <t>木桐城堡</t>
    </r>
    <r>
      <rPr>
        <rFont val="新細明體"/>
        <b/>
        <color rgb="FFFF0000"/>
        <sz val="11.0"/>
      </rPr>
      <t>(單一木盒)</t>
    </r>
  </si>
  <si>
    <t>MD005-20-G1</t>
  </si>
  <si>
    <r>
      <rPr>
        <rFont val="PMingLiu"/>
        <b/>
        <color theme="1"/>
        <sz val="11.0"/>
      </rPr>
      <t>木桐城堡</t>
    </r>
    <r>
      <rPr>
        <rFont val="新細明體"/>
        <b/>
        <color rgb="FFFF0000"/>
        <sz val="11.0"/>
      </rPr>
      <t>(單一木盒)</t>
    </r>
  </si>
  <si>
    <t>MD005-21-G1</t>
  </si>
  <si>
    <r>
      <rPr>
        <rFont val="PMingLiu"/>
        <b/>
        <color theme="1"/>
        <sz val="11.0"/>
      </rPr>
      <t xml:space="preserve">CHATEAU MOUTON ROTHSCHILD 2021                </t>
    </r>
  </si>
  <si>
    <r>
      <rPr>
        <rFont val="PMingLiu"/>
        <b/>
        <color theme="1"/>
        <sz val="11.0"/>
      </rPr>
      <t>木桐城堡</t>
    </r>
    <r>
      <rPr>
        <rFont val="新細明體"/>
        <b/>
        <color rgb="FFFF0000"/>
        <sz val="11.0"/>
      </rPr>
      <t>(單一木盒)</t>
    </r>
  </si>
  <si>
    <t>RP94/WE96</t>
  </si>
  <si>
    <t>SA001-96-G1S</t>
  </si>
  <si>
    <t>Carruades de Lafite Pauillac 1996</t>
  </si>
  <si>
    <t>拉菲城堡副牌</t>
  </si>
  <si>
    <t>MD001-19-G1S</t>
  </si>
  <si>
    <t>Carruades de Lafite Pauillac 2019</t>
  </si>
  <si>
    <t>拉菲城堡副牌-6入木箱</t>
  </si>
  <si>
    <t>RP92 / JS96</t>
  </si>
  <si>
    <t>MD001-20-G1S</t>
  </si>
  <si>
    <t>Carruades de Lafite Pauillac 2020</t>
  </si>
  <si>
    <r>
      <rPr>
        <rFont val="PMingLiu"/>
        <b/>
        <color rgb="FF000000"/>
        <sz val="11.0"/>
      </rPr>
      <t>拉菲城堡副牌-</t>
    </r>
    <r>
      <rPr>
        <rFont val="新細明體"/>
        <b/>
        <color rgb="FFFF0000"/>
        <sz val="11.0"/>
      </rPr>
      <t>3入木盒</t>
    </r>
  </si>
  <si>
    <t>RP91/JS96</t>
  </si>
  <si>
    <t>MD001-21-G1S</t>
  </si>
  <si>
    <t xml:space="preserve">CARRUADES DE LAFITE 2021                                             </t>
  </si>
  <si>
    <t>RP91/JS95/WE94</t>
  </si>
  <si>
    <t>SA002-98-G1S</t>
  </si>
  <si>
    <t>Pavillon Rouge Margaux 2011</t>
  </si>
  <si>
    <r>
      <rPr>
        <rFont val="PMingLiu"/>
        <b/>
        <color rgb="FF000000"/>
        <sz val="11.0"/>
      </rPr>
      <t>瑪歌城堡副牌</t>
    </r>
  </si>
  <si>
    <t>GH002-11-G1S</t>
  </si>
  <si>
    <t>瑪歌城堡副牌-12入木箱</t>
  </si>
  <si>
    <t>WS90/RP89</t>
  </si>
  <si>
    <t>SA002-12-G1S</t>
  </si>
  <si>
    <t>Pavillon Rge du Ch Margaux 2012</t>
  </si>
  <si>
    <t>瑪歌城堡副牌-6入木箱</t>
  </si>
  <si>
    <t>WS90/RP90+</t>
  </si>
  <si>
    <t>DI002-15-G1S</t>
  </si>
  <si>
    <t>Pavillon Rge du Ch Margaux 2015</t>
  </si>
  <si>
    <t>瑪歌城堡副牌-木箱</t>
  </si>
  <si>
    <t>JS96/RP92/WS94</t>
  </si>
  <si>
    <t>MD002-19-G1S</t>
  </si>
  <si>
    <t>Pavillon Rge du Ch Margaux 2019</t>
  </si>
  <si>
    <t>RP95 / JS96</t>
  </si>
  <si>
    <t>MS002-19-G1S</t>
  </si>
  <si>
    <t>MS002-20-G1S</t>
  </si>
  <si>
    <t>Pavillon Rge du Ch Margaux 2020</t>
  </si>
  <si>
    <r>
      <rPr>
        <rFont val="PMingLiu"/>
        <b/>
        <color rgb="FF000000"/>
        <sz val="11.0"/>
      </rPr>
      <t>瑪歌城堡副牌-</t>
    </r>
    <r>
      <rPr>
        <rFont val="新細明體"/>
        <b/>
        <color rgb="FFFF0000"/>
        <sz val="11.0"/>
      </rPr>
      <t>3入木盒</t>
    </r>
  </si>
  <si>
    <t>RP91+/JS97</t>
  </si>
  <si>
    <t>MD002-20-G1S</t>
  </si>
  <si>
    <r>
      <rPr>
        <rFont val="PMingLiu"/>
        <b/>
        <color rgb="FF000000"/>
        <sz val="11.0"/>
      </rPr>
      <t>瑪歌城堡副牌-</t>
    </r>
    <r>
      <rPr>
        <rFont val="新細明體"/>
        <b/>
        <color rgb="FFFF0000"/>
        <sz val="11.0"/>
      </rPr>
      <t>3入木盒</t>
    </r>
  </si>
  <si>
    <t>MD002-21-G1S</t>
  </si>
  <si>
    <r>
      <rPr>
        <rFont val="PMingLiu"/>
        <b/>
        <color theme="1"/>
        <sz val="11.0"/>
      </rPr>
      <t xml:space="preserve">PAVILLON ROUGE DU CH MARGAUX 2021  </t>
    </r>
  </si>
  <si>
    <r>
      <rPr>
        <rFont val="PMingLiu"/>
        <b/>
        <color theme="1"/>
        <sz val="11.0"/>
      </rPr>
      <t>瑪歌城堡副牌-</t>
    </r>
    <r>
      <rPr>
        <rFont val="新細明體"/>
        <b/>
        <color rgb="FFFF0000"/>
        <sz val="11.0"/>
      </rPr>
      <t>3入木盒</t>
    </r>
  </si>
  <si>
    <t>RP91/JS96/WE95</t>
  </si>
  <si>
    <t>SA003-02-G1S</t>
  </si>
  <si>
    <t>Les Forts de Latour Pauillac 2002</t>
  </si>
  <si>
    <t>拉圖城堡副牌</t>
  </si>
  <si>
    <t>MD003-16-G1S</t>
  </si>
  <si>
    <t>Les Forts de Latour Pauillac 2016</t>
  </si>
  <si>
    <t>拉圖城堡副牌-6入木箱</t>
  </si>
  <si>
    <t>MG003-16-G1S</t>
  </si>
  <si>
    <t>MD003-17-G1S</t>
  </si>
  <si>
    <t>Les Forts de Latour Pauillac 2017</t>
  </si>
  <si>
    <t>DI004-15-G1S</t>
  </si>
  <si>
    <t>Le Clarence de Haut-Brion 2015</t>
  </si>
  <si>
    <t>歐布里翁城堡副牌-6入木箱</t>
  </si>
  <si>
    <t>RP93+/WS94/WE94</t>
  </si>
  <si>
    <t>MD004-19-G1S</t>
  </si>
  <si>
    <t>Le Clarence de Haut-Brion 2019</t>
  </si>
  <si>
    <t>MD004-20-G1S</t>
  </si>
  <si>
    <t>Le Clarence de Haut-Brion 2020</t>
  </si>
  <si>
    <r>
      <rPr>
        <rFont val="PMingLiu"/>
        <b/>
        <color theme="1"/>
        <sz val="11.0"/>
      </rPr>
      <t>歐布里翁城堡副牌-</t>
    </r>
    <r>
      <rPr>
        <rFont val="新細明體"/>
        <b/>
        <color rgb="FFFF0000"/>
        <sz val="11.0"/>
      </rPr>
      <t>3入木盒</t>
    </r>
  </si>
  <si>
    <t>RP92/JS96</t>
  </si>
  <si>
    <t>MD004-21-G1S</t>
  </si>
  <si>
    <t xml:space="preserve">LE CLARENCE DE HAUT BRION 2021                                         </t>
  </si>
  <si>
    <r>
      <rPr>
        <rFont val="PMingLiu"/>
        <b/>
        <color theme="1"/>
        <sz val="11.0"/>
      </rPr>
      <t>歐布里翁城堡副牌-</t>
    </r>
    <r>
      <rPr>
        <rFont val="新細明體"/>
        <b/>
        <color rgb="FFFF0000"/>
        <sz val="11.0"/>
      </rPr>
      <t>3入木盒</t>
    </r>
  </si>
  <si>
    <t>RP92+/JS95                 WE94</t>
  </si>
  <si>
    <t>LV005-06-G1S</t>
  </si>
  <si>
    <t>PETIT MOUTON DE MR 2006</t>
  </si>
  <si>
    <t>木桐城堡副牌-木箱</t>
  </si>
  <si>
    <t>MD005-20-G1S</t>
  </si>
  <si>
    <t>PETIT MOUTON DE MR 2020</t>
  </si>
  <si>
    <r>
      <rPr>
        <rFont val="PMingLiu"/>
        <b/>
        <color theme="1"/>
        <sz val="11.0"/>
      </rPr>
      <t>木桐城堡副牌</t>
    </r>
    <r>
      <rPr>
        <rFont val="新細明體"/>
        <b/>
        <color rgb="FFFF0000"/>
        <sz val="11.0"/>
      </rPr>
      <t>(單一木盒)</t>
    </r>
  </si>
  <si>
    <t>RP93/JS98</t>
  </si>
  <si>
    <t>MD005-21-G1S</t>
  </si>
  <si>
    <r>
      <rPr>
        <rFont val="PMingLiu"/>
        <b/>
        <color theme="1"/>
        <sz val="11.0"/>
      </rPr>
      <t>LE PETIT MOUTON DE MOUTON ROTH  2021</t>
    </r>
    <r>
      <rPr>
        <rFont val="新細明體"/>
        <b/>
        <color rgb="FFFF0000"/>
        <sz val="11.0"/>
      </rPr>
      <t xml:space="preserve">  </t>
    </r>
  </si>
  <si>
    <r>
      <rPr>
        <rFont val="PMingLiu"/>
        <b/>
        <color theme="1"/>
        <sz val="11.0"/>
      </rPr>
      <t>木桐城堡副牌</t>
    </r>
    <r>
      <rPr>
        <rFont val="新細明體"/>
        <b/>
        <color rgb="FFFF0000"/>
        <sz val="11.0"/>
      </rPr>
      <t>(單一木盒)</t>
    </r>
  </si>
  <si>
    <t>RP91/JS95</t>
  </si>
  <si>
    <t>＊二級酒莊</t>
  </si>
  <si>
    <t>JA006-16-G2</t>
  </si>
  <si>
    <t>CH. Rauzan Segla 2016</t>
  </si>
  <si>
    <t>湖珊雪格城堡-6入木箱</t>
  </si>
  <si>
    <t>RP97/WE97/WS95</t>
  </si>
  <si>
    <t>MD006-21-G2</t>
  </si>
  <si>
    <t xml:space="preserve">CHATEAU RAUZAN SEGLA2021                                                </t>
  </si>
  <si>
    <t>RP93+/JS95/WS92</t>
  </si>
  <si>
    <t>SA007-06-G2</t>
  </si>
  <si>
    <t>Ch.Rauzan Gassies 2006</t>
  </si>
  <si>
    <t>賀頌加西城堡-木箱</t>
  </si>
  <si>
    <t>JA007-15-G2</t>
  </si>
  <si>
    <t>Ch.Rauzan Gassies 2015</t>
  </si>
  <si>
    <t>賀頌加西城堡-6入木箱</t>
  </si>
  <si>
    <t>JS95/RP88
WS86/WE94</t>
  </si>
  <si>
    <t>MS007-17-G2</t>
  </si>
  <si>
    <t>Ch.Rauzan Gassies 2017</t>
  </si>
  <si>
    <t>RP96/100//JS96/100</t>
  </si>
  <si>
    <t>MG007-20-G2</t>
  </si>
  <si>
    <t>CH RAUZAN GASSIES 202
0</t>
  </si>
  <si>
    <t>JA008-93-G2</t>
  </si>
  <si>
    <t>Ch Leoville Las Cases1993</t>
  </si>
  <si>
    <t>拉斯卡司城堡-木箱</t>
  </si>
  <si>
    <t>MD008-19-G2</t>
  </si>
  <si>
    <t>Ch Leoville Las Cases 2019</t>
  </si>
  <si>
    <t>拉斯卡司城堡-6入木箱</t>
  </si>
  <si>
    <t>RP98/JS98</t>
  </si>
  <si>
    <t>MS008-19-G2</t>
  </si>
  <si>
    <t>MG008-19-G2</t>
  </si>
  <si>
    <t>MG008-20-G2</t>
  </si>
  <si>
    <t>Ch Leoville Las Cases 2020</t>
  </si>
  <si>
    <r>
      <rPr>
        <rFont val="PMingLiu"/>
        <b/>
        <color rgb="FF000000"/>
        <sz val="11.0"/>
      </rPr>
      <t>拉斯卡司城堡</t>
    </r>
    <r>
      <rPr>
        <rFont val="新細明體"/>
        <b/>
        <color rgb="FFFF0000"/>
        <sz val="11.0"/>
      </rPr>
      <t>(單一木盒)</t>
    </r>
  </si>
  <si>
    <t>RP97+/JS98</t>
  </si>
  <si>
    <t>MD008-20-G2</t>
  </si>
  <si>
    <r>
      <rPr>
        <rFont val="PMingLiu"/>
        <b/>
        <color rgb="FF000000"/>
        <sz val="11.0"/>
      </rPr>
      <t>拉斯卡司城堡</t>
    </r>
    <r>
      <rPr>
        <rFont val="新細明體"/>
        <b/>
        <color rgb="FFFF0000"/>
        <sz val="11.0"/>
      </rPr>
      <t>(單一木盒)</t>
    </r>
  </si>
  <si>
    <t>DU008-21-G2</t>
  </si>
  <si>
    <r>
      <rPr>
        <rFont val="PMingLiu"/>
        <b/>
        <color theme="1"/>
        <sz val="11.0"/>
      </rPr>
      <t xml:space="preserve">Château Leoville Las Cases  2021                                                </t>
    </r>
  </si>
  <si>
    <t>RP96+/JS97</t>
  </si>
  <si>
    <t>MD008-21-G2</t>
  </si>
  <si>
    <t xml:space="preserve">CHATEAU LEOVILLE LAS CASES 2021                        </t>
  </si>
  <si>
    <t>MG008-21-G2</t>
  </si>
  <si>
    <t xml:space="preserve">CHATEAU LEOVILLE LAS CASES2021                                                 </t>
  </si>
  <si>
    <t>MS009-20-G2</t>
  </si>
  <si>
    <t>CH LEOVILLE POYFERRE 2020</t>
  </si>
  <si>
    <r>
      <rPr>
        <rFont val="PMingLiu"/>
        <b/>
        <color rgb="FF000000"/>
        <sz val="11.0"/>
      </rPr>
      <t>利維爾波荷城堡</t>
    </r>
    <r>
      <rPr>
        <rFont val="新細明體"/>
        <b/>
        <color rgb="FFFF0000"/>
        <sz val="11.0"/>
      </rPr>
      <t>(單一木盒)</t>
    </r>
  </si>
  <si>
    <t>RP94+JS96 特殊標</t>
  </si>
  <si>
    <t>MG009-20-G2</t>
  </si>
  <si>
    <r>
      <rPr>
        <rFont val="PMingLiu"/>
        <b/>
        <color rgb="FF000000"/>
        <sz val="11.0"/>
      </rPr>
      <t>利維爾波荷城堡</t>
    </r>
    <r>
      <rPr>
        <rFont val="新細明體"/>
        <b/>
        <color rgb="FFFF0000"/>
        <sz val="11.0"/>
      </rPr>
      <t>(單一木盒)</t>
    </r>
  </si>
  <si>
    <t>JA010-85-G2</t>
  </si>
  <si>
    <t>CH. Leoville Barton 1985</t>
  </si>
  <si>
    <t>巴頓城堡-木箱</t>
  </si>
  <si>
    <t>WS89/RP92</t>
  </si>
  <si>
    <t>MS011-19-G2</t>
  </si>
  <si>
    <t xml:space="preserve">CH DURFORT VIVENS 2019                                         </t>
  </si>
  <si>
    <t>杜佛薇恩城堡-6入木箱</t>
  </si>
  <si>
    <t>RP96/JS95</t>
  </si>
  <si>
    <t>MS011-20-G2</t>
  </si>
  <si>
    <t xml:space="preserve">CH Durfort Vivens 2020
</t>
  </si>
  <si>
    <t>JA012-14-G2</t>
  </si>
  <si>
    <t>Ch. Gruaud Larose 2014</t>
  </si>
  <si>
    <t>葛霍拉洛斯城堡-12入木箱</t>
  </si>
  <si>
    <t>WS92/RP90</t>
  </si>
  <si>
    <t>LD013-12-G2</t>
  </si>
  <si>
    <t>CH LASCOMBES 2012</t>
  </si>
  <si>
    <t>拉斯康柏城堡-6入木箱</t>
  </si>
  <si>
    <t>WS87/RP94</t>
  </si>
  <si>
    <t>MS013-20-G2</t>
  </si>
  <si>
    <t xml:space="preserve">CH LASCOMBES 2020
</t>
  </si>
  <si>
    <t>拉斯康柏城堡-12入木箱</t>
  </si>
  <si>
    <t>RP88/JS95</t>
  </si>
  <si>
    <t>MD014-21-G2</t>
  </si>
  <si>
    <t xml:space="preserve">CHATEAU BRANE CANTENAC2021                          </t>
  </si>
  <si>
    <t>伯納康田城堡-6入木箱</t>
  </si>
  <si>
    <t>MS014-21-G2</t>
  </si>
  <si>
    <t xml:space="preserve">CHAT BRANE CANTENAC2021                                   </t>
  </si>
  <si>
    <t>MG015-19-G2</t>
  </si>
  <si>
    <r>
      <rPr>
        <rFont val="PMingLiu"/>
        <b/>
        <color rgb="FF000000"/>
        <sz val="11.0"/>
      </rPr>
      <t xml:space="preserve">CH PICHON BARON 2019                          </t>
    </r>
  </si>
  <si>
    <t>皮項巴弘城堡-6入木箱</t>
  </si>
  <si>
    <t>RP97+/JS99</t>
  </si>
  <si>
    <t>MG015-20-G2</t>
  </si>
  <si>
    <t xml:space="preserve">CH PICHON LONG. BARON 2020
</t>
  </si>
  <si>
    <t>RP97/JS95</t>
  </si>
  <si>
    <t>MD015-20-G2</t>
  </si>
  <si>
    <t>MG015-21-G2</t>
  </si>
  <si>
    <t xml:space="preserve">CH PICHON LONG. BARON 2021                        </t>
  </si>
  <si>
    <t>RP95/JS95             WS94/WE96</t>
  </si>
  <si>
    <t>MD016-19-G2</t>
  </si>
  <si>
    <r>
      <rPr>
        <rFont val="PMingLiu"/>
        <b/>
        <color rgb="FF000000"/>
        <sz val="11.0"/>
      </rPr>
      <t xml:space="preserve">Chateau Pichon Longueville Comtesse de Lalande 2019    </t>
    </r>
  </si>
  <si>
    <t>皮項拉隆城堡-6入木箱</t>
  </si>
  <si>
    <t>RP65/JS97</t>
  </si>
  <si>
    <t>MD016-20-G2</t>
  </si>
  <si>
    <t xml:space="preserve">CH.PICHON L.C. DE LALANDE 2020
</t>
  </si>
  <si>
    <t>MD017-85-G2</t>
  </si>
  <si>
    <t>Chteau Ducru Beaucaillou 1985</t>
  </si>
  <si>
    <t>杜庫布卡優城堡-6入木箱</t>
  </si>
  <si>
    <t>保留</t>
  </si>
  <si>
    <t>MD017-86-G2</t>
  </si>
  <si>
    <t>Chteau Ducru Beaucaillou 1986</t>
  </si>
  <si>
    <t>MD017-99-01SET-G2</t>
  </si>
  <si>
    <t>Chateau Ducru Beaucaillou Set  1999-2000-2001</t>
  </si>
  <si>
    <r>
      <rPr>
        <rFont val="PMingLiu"/>
        <b/>
        <color rgb="FF000000"/>
        <sz val="11.0"/>
      </rPr>
      <t>杜庫布卡優城堡套組</t>
    </r>
    <r>
      <rPr>
        <rFont val="新細明體"/>
        <b/>
        <color rgb="FFFF0000"/>
        <sz val="11.0"/>
      </rPr>
      <t>-3入木盒</t>
    </r>
  </si>
  <si>
    <t>MD017-15-G2</t>
  </si>
  <si>
    <t>Chteau Ducru Beaucaillou 2015</t>
  </si>
  <si>
    <r>
      <rPr>
        <rFont val="PMingLiu"/>
        <b/>
        <color rgb="FF000000"/>
        <sz val="11.0"/>
      </rPr>
      <t>杜庫布卡優城堡</t>
    </r>
    <r>
      <rPr>
        <rFont val="新細明體"/>
        <b/>
        <color rgb="FFFF0000"/>
        <sz val="11.0"/>
      </rPr>
      <t>(單一木盒)</t>
    </r>
  </si>
  <si>
    <t>MD017-19-G2</t>
  </si>
  <si>
    <t>Chteau Ducru Beaucaillou 2019</t>
  </si>
  <si>
    <r>
      <rPr>
        <rFont val="PMingLiu"/>
        <b/>
        <color rgb="FF000000"/>
        <sz val="11.0"/>
      </rPr>
      <t>杜庫布卡優城堡-6入木箱(</t>
    </r>
    <r>
      <rPr>
        <rFont val="新細明體"/>
        <b/>
        <color rgb="FFFF0000"/>
        <sz val="11.0"/>
      </rPr>
      <t>300年紀念標</t>
    </r>
    <r>
      <rPr>
        <rFont val="新細明體"/>
        <b/>
        <color rgb="FF000000"/>
        <sz val="11.0"/>
      </rPr>
      <t>)</t>
    </r>
  </si>
  <si>
    <t>RP96+/JS98</t>
  </si>
  <si>
    <t>MS017-20-G2</t>
  </si>
  <si>
    <t>Chteau Ducru Beaucaillou 2020</t>
  </si>
  <si>
    <r>
      <rPr>
        <rFont val="PMingLiu"/>
        <b/>
        <color rgb="FF000000"/>
        <sz val="11.0"/>
      </rPr>
      <t>杜庫布卡優城堡</t>
    </r>
    <r>
      <rPr>
        <rFont val="新細明體"/>
        <b/>
        <color rgb="FFFF0000"/>
        <sz val="11.0"/>
      </rPr>
      <t>(單一木盒)</t>
    </r>
  </si>
  <si>
    <t>RP95/JS97
蠟封特殊標</t>
  </si>
  <si>
    <t>MG017-20-G2</t>
  </si>
  <si>
    <r>
      <rPr>
        <rFont val="PMingLiu"/>
        <b/>
        <color rgb="FF000000"/>
        <sz val="11.0"/>
      </rPr>
      <t>杜庫布卡優城堡</t>
    </r>
    <r>
      <rPr>
        <rFont val="新細明體"/>
        <b/>
        <color rgb="FFFF0000"/>
        <sz val="11.0"/>
      </rPr>
      <t>(單一木盒)</t>
    </r>
  </si>
  <si>
    <t>MD017-20-G2</t>
  </si>
  <si>
    <r>
      <rPr>
        <rFont val="PMingLiu"/>
        <b/>
        <color rgb="FF000000"/>
        <sz val="11.0"/>
      </rPr>
      <t>杜庫布卡優城堡</t>
    </r>
    <r>
      <rPr>
        <rFont val="新細明體"/>
        <b/>
        <color rgb="FFFF0000"/>
        <sz val="11.0"/>
      </rPr>
      <t>(單一木盒)</t>
    </r>
  </si>
  <si>
    <t>MD018-19-G2</t>
  </si>
  <si>
    <t xml:space="preserve">CH COS D'ESTOURNEL 2019                                </t>
  </si>
  <si>
    <t>高斯城堡-6入木箱</t>
  </si>
  <si>
    <t>MG018-19-G2</t>
  </si>
  <si>
    <t>MG018-20-G2</t>
  </si>
  <si>
    <t>CH COS D'ESTOURNEL 2020</t>
  </si>
  <si>
    <r>
      <rPr>
        <rFont val="PMingLiu"/>
        <b/>
        <color rgb="FF000000"/>
        <sz val="11.0"/>
      </rPr>
      <t>高斯城堡</t>
    </r>
    <r>
      <rPr>
        <rFont val="新細明體"/>
        <b/>
        <color rgb="FFFF0000"/>
        <sz val="11.0"/>
      </rPr>
      <t>(單一木盒)</t>
    </r>
  </si>
  <si>
    <t>RP94/JS98 特標黑標  
JD百大第2</t>
  </si>
  <si>
    <t>MS018-20-G2</t>
  </si>
  <si>
    <r>
      <rPr>
        <rFont val="PMingLiu"/>
        <b/>
        <color rgb="FF000000"/>
        <sz val="11.0"/>
      </rPr>
      <t>高斯城堡</t>
    </r>
    <r>
      <rPr>
        <rFont val="新細明體"/>
        <b/>
        <color rgb="FFFF0000"/>
        <sz val="11.0"/>
      </rPr>
      <t>(單一木盒)</t>
    </r>
  </si>
  <si>
    <t>MD018-20-G2</t>
  </si>
  <si>
    <r>
      <rPr>
        <rFont val="PMingLiu"/>
        <b/>
        <color rgb="FF000000"/>
        <sz val="11.0"/>
      </rPr>
      <t>高斯城堡</t>
    </r>
    <r>
      <rPr>
        <rFont val="新細明體"/>
        <b/>
        <color rgb="FFFF0000"/>
        <sz val="11.0"/>
      </rPr>
      <t>(單一木盒)</t>
    </r>
  </si>
  <si>
    <t>MS018-21-G2</t>
  </si>
  <si>
    <t xml:space="preserve">CHAT COS D'ESTOURNEL2021                                                </t>
  </si>
  <si>
    <t xml:space="preserve">RP93+/JS95            </t>
  </si>
  <si>
    <t>MG018-21-G2</t>
  </si>
  <si>
    <t xml:space="preserve">CH COS D'ESTOURNEL  2021                                      </t>
  </si>
  <si>
    <t>MS019-20-G2</t>
  </si>
  <si>
    <r>
      <rPr>
        <rFont val="PMingLiu"/>
        <b/>
        <color theme="1"/>
        <sz val="11.0"/>
      </rPr>
      <t xml:space="preserve">CH MONTROSE 2020
</t>
    </r>
  </si>
  <si>
    <r>
      <rPr>
        <rFont val="PMingLiu"/>
        <b/>
        <color rgb="FF000000"/>
        <sz val="11.0"/>
      </rPr>
      <t>蒙特羅斯城堡</t>
    </r>
    <r>
      <rPr>
        <rFont val="新細明體"/>
        <b/>
        <color rgb="FFFF0000"/>
        <sz val="11.0"/>
      </rPr>
      <t>(單一木盒)</t>
    </r>
  </si>
  <si>
    <t>MD008-19-G2S</t>
  </si>
  <si>
    <t>Le Petit Lion du Marquis de Las Cases 2019</t>
  </si>
  <si>
    <t>拉斯卡司城堡副牌-6入木箱</t>
  </si>
  <si>
    <t>RP90/JS95</t>
  </si>
  <si>
    <t>MG008-19-G2S</t>
  </si>
  <si>
    <t>MS008-20-G2S</t>
  </si>
  <si>
    <t xml:space="preserve">LE PETIT LION DU MARQUIS DE LAS CASES 2020
</t>
  </si>
  <si>
    <t>RP94/JS95</t>
  </si>
  <si>
    <t>MG008-20-G2S</t>
  </si>
  <si>
    <t xml:space="preserve">PETIT LION MARQUIS DE LAS CASE 2020
</t>
  </si>
  <si>
    <r>
      <rPr>
        <rFont val="PMingLiu"/>
        <b/>
        <color rgb="FF000000"/>
        <sz val="11.0"/>
      </rPr>
      <t>拉斯卡司城堡副牌-</t>
    </r>
    <r>
      <rPr>
        <rFont val="新細明體"/>
        <b/>
        <color rgb="FFFF0000"/>
        <sz val="11.0"/>
      </rPr>
      <t>3入木盒</t>
    </r>
  </si>
  <si>
    <t>MD008-20-G2S</t>
  </si>
  <si>
    <t xml:space="preserve">PETIT LION DU MARQUIS DE LAS CASES (LE) 2020
</t>
  </si>
  <si>
    <t>MG008-21-G2S</t>
  </si>
  <si>
    <t xml:space="preserve">PETIT LION MARQUIS DE LAS CASES2021          </t>
  </si>
  <si>
    <t>RP89/JS95/WE92</t>
  </si>
  <si>
    <t>MD015-20-G2S</t>
  </si>
  <si>
    <r>
      <rPr>
        <rFont val="PMingLiu"/>
        <b/>
        <color theme="1"/>
        <sz val="11.0"/>
      </rPr>
      <t>LES GRIFFONS DE PICHON BARON 2020</t>
    </r>
  </si>
  <si>
    <t>皮項巴弘城堡副牌-6入木箱</t>
  </si>
  <si>
    <t>MD016-20-G2S</t>
  </si>
  <si>
    <t xml:space="preserve">PICHON COMTESSE RESERVE 2020
</t>
  </si>
  <si>
    <t>皮項拉隆城堡副牌-6入木箱</t>
  </si>
  <si>
    <t>MD017-15-G2S</t>
  </si>
  <si>
    <t>CROIX DE BEAUCAILLOU 2015</t>
  </si>
  <si>
    <t>杜庫布卡優城堡副牌-12入木箱</t>
  </si>
  <si>
    <t>RP96/WS91/WE94</t>
  </si>
  <si>
    <t>JPM017-15-G2S</t>
  </si>
  <si>
    <t>杜庫布卡優城堡副牌-6入木箱</t>
  </si>
  <si>
    <t>MD017-19-G2S</t>
  </si>
  <si>
    <t>CROIX DE BEAUCAILLOU 2019</t>
  </si>
  <si>
    <t>RP91+/JS96</t>
  </si>
  <si>
    <t>MD017-20-G2S</t>
  </si>
  <si>
    <t xml:space="preserve">CROIX DUCRU-BEAUCAILLOU (LA) 2020
</t>
  </si>
  <si>
    <t>MS018-11-G2S</t>
  </si>
  <si>
    <t xml:space="preserve">LES PAGODES DE COS 2011 </t>
  </si>
  <si>
    <t>高斯城堡副牌-6入木箱</t>
  </si>
  <si>
    <t>JS90/RP88
WE91/WS88</t>
  </si>
  <si>
    <t>MS018-21-G2S</t>
  </si>
  <si>
    <t xml:space="preserve">LES PAGODES DE COS  2021                               </t>
  </si>
  <si>
    <t>RP91/JS93         WS90/WE93</t>
  </si>
  <si>
    <t>007-21-G2</t>
  </si>
  <si>
    <t>Chateau Rauzan Gassies 2021</t>
  </si>
  <si>
    <r>
      <rPr>
        <rFont val="PMingLiu"/>
        <b/>
        <color theme="1"/>
        <sz val="11.0"/>
      </rPr>
      <t>賀頌加西城堡(</t>
    </r>
    <r>
      <rPr>
        <rFont val="新細明體"/>
        <b/>
        <color rgb="FFFF0000"/>
        <sz val="11.0"/>
      </rPr>
      <t>外購</t>
    </r>
    <r>
      <rPr>
        <rFont val="新細明體"/>
        <b/>
        <color theme="1"/>
        <sz val="11.0"/>
      </rPr>
      <t>)</t>
    </r>
  </si>
  <si>
    <t>＊三級酒莊</t>
  </si>
  <si>
    <t>MS020-20-G3-MG</t>
  </si>
  <si>
    <r>
      <rPr>
        <rFont val="PMingLiu"/>
        <b/>
        <color rgb="FF000000"/>
        <sz val="11.0"/>
      </rPr>
      <t>CH Kirwan 2020</t>
    </r>
    <r>
      <rPr>
        <rFont val="新細明體"/>
        <b/>
        <color rgb="FFFF0000"/>
        <sz val="11.0"/>
      </rPr>
      <t>(1.5L)</t>
    </r>
  </si>
  <si>
    <r>
      <rPr>
        <rFont val="PMingLiu"/>
        <b/>
        <color rgb="FF000000"/>
        <sz val="11.0"/>
      </rPr>
      <t>奇旺城堡</t>
    </r>
    <r>
      <rPr>
        <rFont val="新細明體"/>
        <b/>
        <color rgb="FFFF0000"/>
        <sz val="11.0"/>
      </rPr>
      <t>(單一木盒)</t>
    </r>
  </si>
  <si>
    <t>JS92+/WE94</t>
  </si>
  <si>
    <t>MS037-10-G3</t>
  </si>
  <si>
    <t>CH. Kirwan 2010</t>
  </si>
  <si>
    <t>奇旺城堡-6入木箱</t>
  </si>
  <si>
    <t>JS93/RP92+
WS91/WE94</t>
  </si>
  <si>
    <t>MS037-17-G3</t>
  </si>
  <si>
    <t>CH Kirwan 2017</t>
  </si>
  <si>
    <r>
      <rPr>
        <rFont val="PMingLiu"/>
        <b/>
        <color rgb="FF000000"/>
        <sz val="11.0"/>
      </rPr>
      <t xml:space="preserve">奇旺城堡-6入木箱              </t>
    </r>
    <r>
      <rPr>
        <rFont val="新細明體"/>
        <b/>
        <color rgb="FFFF0000"/>
        <sz val="11.0"/>
      </rPr>
      <t xml:space="preserve">  </t>
    </r>
  </si>
  <si>
    <t>JS93/RP88
WE95/WS90</t>
  </si>
  <si>
    <t>MS020-19-G3</t>
  </si>
  <si>
    <t>CH Kirwan 2019</t>
  </si>
  <si>
    <t>MS020-20-G3</t>
  </si>
  <si>
    <t>CH Kirwan 2020</t>
  </si>
  <si>
    <t>MS020-20-G3-1</t>
  </si>
  <si>
    <r>
      <rPr>
        <rFont val="PMingLiu"/>
        <b/>
        <color rgb="FF000000"/>
        <sz val="11.0"/>
      </rPr>
      <t>CH Kirwan 2020</t>
    </r>
    <r>
      <rPr>
        <rFont val="新細明體"/>
        <b/>
        <color rgb="FFFF0000"/>
        <sz val="11.0"/>
      </rPr>
      <t>(375ML)</t>
    </r>
  </si>
  <si>
    <t>奇旺城堡-12入木箱</t>
  </si>
  <si>
    <t>直銷1100</t>
  </si>
  <si>
    <t>MS020-21-G3</t>
  </si>
  <si>
    <t xml:space="preserve">CHAT KIRWAN 2021                                                 </t>
  </si>
  <si>
    <t>RP85/JS93/WE94</t>
  </si>
  <si>
    <t>MD021-19-G3</t>
  </si>
  <si>
    <t>Chteau d'Issan 2019</t>
  </si>
  <si>
    <t>達伊珊城堡-6木箱</t>
  </si>
  <si>
    <t>MD021-20-G3</t>
  </si>
  <si>
    <t>Chteau d'Issan 2020</t>
  </si>
  <si>
    <t>RP94+/JS97</t>
  </si>
  <si>
    <t>MG021-21-G3</t>
  </si>
  <si>
    <t xml:space="preserve">CH D'ISSAN 2021                                                      </t>
  </si>
  <si>
    <t>MD023-15-G3</t>
  </si>
  <si>
    <t xml:space="preserve">CHATEAU LANGOA BARTON 2015  </t>
  </si>
  <si>
    <t>朗歌巴頓城堡-12入木箱</t>
  </si>
  <si>
    <t>JS94/RP90/WS93</t>
  </si>
  <si>
    <t>MD023-21-G3</t>
  </si>
  <si>
    <r>
      <rPr>
        <rFont val="PMingLiu"/>
        <b/>
        <color theme="1"/>
        <sz val="11.0"/>
      </rPr>
      <t xml:space="preserve">CHATEAU LANGOA BARTON 2021                           </t>
    </r>
  </si>
  <si>
    <r>
      <rPr>
        <rFont val="PMingLiu"/>
        <b/>
        <color theme="1"/>
        <sz val="11.0"/>
      </rPr>
      <t xml:space="preserve">朗歌巴頓城堡 / </t>
    </r>
    <r>
      <rPr>
        <rFont val="新細明體"/>
        <b/>
        <color rgb="FF0070C0"/>
        <sz val="11.0"/>
      </rPr>
      <t>3瓶紙箱</t>
    </r>
  </si>
  <si>
    <t>RP93/JS93</t>
  </si>
  <si>
    <t>MG023-21-G3</t>
  </si>
  <si>
    <r>
      <rPr>
        <rFont val="PMingLiu"/>
        <b/>
        <color theme="1"/>
        <sz val="11.0"/>
      </rPr>
      <t xml:space="preserve">CH LANGOA BARTON    2021                                   </t>
    </r>
  </si>
  <si>
    <r>
      <rPr>
        <rFont val="PMingLiu"/>
        <b/>
        <color theme="1"/>
        <sz val="11.0"/>
      </rPr>
      <t xml:space="preserve">朗歌巴頓城堡 / </t>
    </r>
    <r>
      <rPr>
        <rFont val="新細明體"/>
        <b/>
        <color rgb="FF0070C0"/>
        <sz val="11.0"/>
      </rPr>
      <t>6瓶紙箱</t>
    </r>
  </si>
  <si>
    <t>RP93/JS93/WE95</t>
  </si>
  <si>
    <t>MG024-21-G3</t>
  </si>
  <si>
    <t xml:space="preserve">CH GISCOURS    2021                                        </t>
  </si>
  <si>
    <t>吉斯可斯城堡-6入木箱</t>
  </si>
  <si>
    <t xml:space="preserve">RP94+/JS95           </t>
  </si>
  <si>
    <t>MD027-20-G3</t>
  </si>
  <si>
    <t xml:space="preserve">CH CANTENAC BROWN 2020
</t>
  </si>
  <si>
    <t>康田布朗城堡-6入木箱</t>
  </si>
  <si>
    <t>JA028-96-G3</t>
  </si>
  <si>
    <t>CH. Palmer 1996</t>
  </si>
  <si>
    <t>帕瑪城堡</t>
  </si>
  <si>
    <t>JA028-99-G3</t>
  </si>
  <si>
    <t>CH. Palmer 1999</t>
  </si>
  <si>
    <t>神之雫</t>
  </si>
  <si>
    <t>MD028-19-G3</t>
  </si>
  <si>
    <t>CH. Palmer 2019</t>
  </si>
  <si>
    <t>帕瑪城堡-6入木箱</t>
  </si>
  <si>
    <t>MG028-20-G3</t>
  </si>
  <si>
    <t>CH. Palmer 2020</t>
  </si>
  <si>
    <r>
      <rPr>
        <rFont val="PMingLiu"/>
        <b/>
        <color rgb="FF000000"/>
        <sz val="11.0"/>
      </rPr>
      <t>帕瑪城堡</t>
    </r>
    <r>
      <rPr>
        <rFont val="新細明體"/>
        <b/>
        <color rgb="FFFF0000"/>
        <sz val="11.0"/>
      </rPr>
      <t>(單一木盒)</t>
    </r>
  </si>
  <si>
    <t>RP97/JS98</t>
  </si>
  <si>
    <t>MG028-21-G3</t>
  </si>
  <si>
    <t xml:space="preserve">CH PALMER 2021                                              </t>
  </si>
  <si>
    <t>RP95+/JS95</t>
  </si>
  <si>
    <t>MD029-20-G3</t>
  </si>
  <si>
    <t xml:space="preserve">CH LAGUNE (LA) 2020
</t>
  </si>
  <si>
    <t>拉拉岡城堡-6入木箱</t>
  </si>
  <si>
    <t>SA031-13-G3</t>
  </si>
  <si>
    <r>
      <rPr>
        <rFont val="PMingLiu"/>
        <b/>
        <color theme="1"/>
        <sz val="11.0"/>
      </rPr>
      <t xml:space="preserve">CH CALON SEGUR  2013                              </t>
    </r>
  </si>
  <si>
    <t>卡隆色古城堡-6入木箱</t>
  </si>
  <si>
    <t>WS90/RP94</t>
  </si>
  <si>
    <t xml:space="preserve">SA031-14-G3 </t>
  </si>
  <si>
    <t xml:space="preserve"> CH CALON SEGUR 2014  </t>
  </si>
  <si>
    <t>WS93/RP92</t>
  </si>
  <si>
    <t>MD031-21-G3</t>
  </si>
  <si>
    <t xml:space="preserve">CHATEAU CALON SEGUR  2021                                </t>
  </si>
  <si>
    <t>MS032-21-G3</t>
  </si>
  <si>
    <t xml:space="preserve">CHAT FERRIERE  2021                                           </t>
  </si>
  <si>
    <t>費里埃城堡-6入木箱</t>
  </si>
  <si>
    <t>RP92/JS93</t>
  </si>
  <si>
    <t>MS020-16-G3S-K</t>
  </si>
  <si>
    <t xml:space="preserve">K de Kirwan 2016 </t>
  </si>
  <si>
    <t>奇旺國王紅葡萄酒-6入木箱</t>
  </si>
  <si>
    <t>JS91 /WS87</t>
  </si>
  <si>
    <t>MS020-19-G3S-K</t>
  </si>
  <si>
    <t>K de Kirwan 2019</t>
  </si>
  <si>
    <t>JS92</t>
  </si>
  <si>
    <t>MS020-19-G3S-Q</t>
  </si>
  <si>
    <t>Charmes de Kirwan 2019</t>
  </si>
  <si>
    <t>奇旺女王紅葡萄酒-6入木箱</t>
  </si>
  <si>
    <t>MG022-21-G3S</t>
  </si>
  <si>
    <t xml:space="preserve">LES FIEFS DE LAGRANGE 2021
 </t>
  </si>
  <si>
    <r>
      <rPr>
        <rFont val="PMingLiu"/>
        <b/>
        <color rgb="FF000000"/>
        <sz val="11.0"/>
      </rPr>
      <t xml:space="preserve">拉葛隆吉城堡副牌 / </t>
    </r>
    <r>
      <rPr>
        <rFont val="新細明體"/>
        <b/>
        <color rgb="FF0070C0"/>
        <sz val="11.0"/>
      </rPr>
      <t>6瓶紙箱</t>
    </r>
  </si>
  <si>
    <t>MG024-21-G3S</t>
  </si>
  <si>
    <t xml:space="preserve">LA SIRENE DE GISCOURS 2021
</t>
  </si>
  <si>
    <t>吉斯可斯城堡副牌-12入木箱</t>
  </si>
  <si>
    <t>RP89/JS93</t>
  </si>
  <si>
    <t>MD028-19-G3S</t>
  </si>
  <si>
    <t xml:space="preserve">ALTER EGO DE PALMER 2019                         </t>
  </si>
  <si>
    <t>帕瑪城堡副牌-6入木箱</t>
  </si>
  <si>
    <t>MD028-20-G3S</t>
  </si>
  <si>
    <t xml:space="preserve">ALTER EGO DE PALMER 2020
</t>
  </si>
  <si>
    <r>
      <rPr>
        <rFont val="PMingLiu"/>
        <b/>
        <color rgb="FF000000"/>
        <sz val="11.0"/>
      </rPr>
      <t>帕瑪城堡副牌</t>
    </r>
    <r>
      <rPr>
        <rFont val="新細明體"/>
        <b/>
        <color rgb="FFFF0000"/>
        <sz val="11.0"/>
      </rPr>
      <t>(單一木盒)</t>
    </r>
  </si>
  <si>
    <t>RP93/JS96</t>
  </si>
  <si>
    <t>MD028-21-G3S</t>
  </si>
  <si>
    <r>
      <rPr>
        <rFont val="PMingLiu"/>
        <b/>
        <color theme="1"/>
        <sz val="11.0"/>
      </rPr>
      <t xml:space="preserve">ALTER EGO DE PALMER    2021                            </t>
    </r>
    <r>
      <rPr>
        <rFont val="新細明體"/>
        <b/>
        <color rgb="FFFF0000"/>
        <sz val="11.0"/>
      </rPr>
      <t xml:space="preserve"> </t>
    </r>
  </si>
  <si>
    <r>
      <rPr>
        <rFont val="PMingLiu"/>
        <b/>
        <color theme="1"/>
        <sz val="11.0"/>
      </rPr>
      <t>帕瑪城堡副牌</t>
    </r>
    <r>
      <rPr>
        <rFont val="新細明體"/>
        <b/>
        <color rgb="FFFF0000"/>
        <sz val="11.0"/>
      </rPr>
      <t>(單一木盒)</t>
    </r>
  </si>
  <si>
    <t>RP92/JS93/WE95</t>
  </si>
  <si>
    <t>MD031-19-G3S3</t>
  </si>
  <si>
    <t>SAINT ESTEPHE DE CALON SEGUR 2019</t>
  </si>
  <si>
    <r>
      <rPr>
        <rFont val="PMingLiu"/>
        <b/>
        <color rgb="FF000000"/>
        <sz val="11.0"/>
      </rPr>
      <t xml:space="preserve">卡隆色古城堡三軍 / </t>
    </r>
    <r>
      <rPr>
        <rFont val="新細明體"/>
        <b/>
        <color rgb="FF0070C0"/>
        <sz val="11.0"/>
      </rPr>
      <t>6瓶紙箱</t>
    </r>
  </si>
  <si>
    <t>MG032-16-G3S</t>
  </si>
  <si>
    <r>
      <rPr>
        <rFont val="PMingLiu"/>
        <b/>
        <color theme="1"/>
        <sz val="11.0"/>
      </rPr>
      <t xml:space="preserve">LES REMPARTS DE FERRIERE2016 2021                           </t>
    </r>
  </si>
  <si>
    <r>
      <rPr>
        <rFont val="PMingLiu"/>
        <b/>
        <color theme="1"/>
        <sz val="11.0"/>
      </rPr>
      <t xml:space="preserve">費里埃城堡副牌 / </t>
    </r>
    <r>
      <rPr>
        <rFont val="新細明體"/>
        <b/>
        <color rgb="FF0070C0"/>
        <sz val="11.0"/>
      </rPr>
      <t>6瓶紙箱</t>
    </r>
  </si>
  <si>
    <t>MG032-18-G3S</t>
  </si>
  <si>
    <r>
      <rPr>
        <rFont val="PMingLiu"/>
        <b/>
        <color theme="1"/>
        <sz val="11.0"/>
      </rPr>
      <t xml:space="preserve">LES REMPARTS DE FERRIERE 2018                          </t>
    </r>
  </si>
  <si>
    <r>
      <rPr>
        <rFont val="PMingLiu"/>
        <b/>
        <color theme="1"/>
        <sz val="11.0"/>
      </rPr>
      <t xml:space="preserve">費里埃城堡副牌 / </t>
    </r>
    <r>
      <rPr>
        <rFont val="新細明體"/>
        <b/>
        <color rgb="FF0070C0"/>
        <sz val="11.0"/>
      </rPr>
      <t>6瓶紙箱</t>
    </r>
  </si>
  <si>
    <t>DE90</t>
  </si>
  <si>
    <t>＊四級酒莊</t>
  </si>
  <si>
    <t>MD036-19-G4</t>
  </si>
  <si>
    <r>
      <rPr>
        <rFont val="PMingLiu"/>
        <b/>
        <color rgb="FF000000"/>
        <sz val="11.0"/>
      </rPr>
      <t xml:space="preserve">CH TALBOT 2019                                                               </t>
    </r>
  </si>
  <si>
    <t>塔寶城堡-6入木箱</t>
  </si>
  <si>
    <t>RP93/JS</t>
  </si>
  <si>
    <t>MD036-20-G4</t>
  </si>
  <si>
    <r>
      <rPr>
        <rFont val="PMingLiu"/>
        <b/>
        <color rgb="FF000000"/>
        <sz val="11.0"/>
      </rPr>
      <t>CH TALBOT 2020</t>
    </r>
  </si>
  <si>
    <t>MG037-21-G4</t>
  </si>
  <si>
    <t xml:space="preserve">CH BRANAIRE DUCRU  2021                                </t>
  </si>
  <si>
    <t>布朗杜庫城堡-6入木箱</t>
  </si>
  <si>
    <t>RP94/JS94</t>
  </si>
  <si>
    <t>MD038-20-G4</t>
  </si>
  <si>
    <r>
      <rPr>
        <rFont val="PMingLiu"/>
        <b/>
        <color rgb="FF000000"/>
        <sz val="11.0"/>
      </rPr>
      <t>CH DUHART MILON 2020</t>
    </r>
  </si>
  <si>
    <t>杜哈米隆城堡-6入木箱</t>
  </si>
  <si>
    <t>JPM040-20-G4</t>
  </si>
  <si>
    <r>
      <rPr>
        <rFont val="PMingLiu"/>
        <b/>
        <color theme="1"/>
        <sz val="11.0"/>
      </rPr>
      <t xml:space="preserve">Château LA TOUR CARNET 2020                              </t>
    </r>
  </si>
  <si>
    <t>拉圖卡那城堡-12入木箱</t>
  </si>
  <si>
    <t>RP91/JS91</t>
  </si>
  <si>
    <t>MG044-21-G4</t>
  </si>
  <si>
    <t xml:space="preserve">CH MARQUIS DE TERME2021                                       </t>
  </si>
  <si>
    <t>瑪齊堤牡城堡-6入木箱</t>
  </si>
  <si>
    <t>RP91/JS93</t>
  </si>
  <si>
    <t>＊五級酒莊</t>
  </si>
  <si>
    <t>SA045-12-MG-G5</t>
  </si>
  <si>
    <r>
      <rPr>
        <rFont val="PMingLiu"/>
        <b/>
        <color theme="1"/>
        <sz val="11.0"/>
      </rPr>
      <t xml:space="preserve">CH PONTET CANET  2012 </t>
    </r>
    <r>
      <rPr>
        <rFont val="新細明體"/>
        <b/>
        <color rgb="FFFF0000"/>
        <sz val="11.0"/>
      </rPr>
      <t xml:space="preserve">(1.5L)                             </t>
    </r>
  </si>
  <si>
    <t>朋特卡內城堡-6入木箱</t>
  </si>
  <si>
    <t>WE92/RP93</t>
  </si>
  <si>
    <t>SA045-13-MG-G5</t>
  </si>
  <si>
    <r>
      <rPr>
        <rFont val="PMingLiu"/>
        <b/>
        <color theme="1"/>
        <sz val="11.0"/>
      </rPr>
      <t xml:space="preserve">CH PONTET CANET  2013 </t>
    </r>
    <r>
      <rPr>
        <rFont val="新細明體"/>
        <b/>
        <color rgb="FFFF0000"/>
        <sz val="11.0"/>
      </rPr>
      <t xml:space="preserve">(1.5L)                            </t>
    </r>
  </si>
  <si>
    <t>WE95/RP92</t>
  </si>
  <si>
    <t xml:space="preserve">SA045-14-MG-G5 </t>
  </si>
  <si>
    <r>
      <rPr>
        <rFont val="PMingLiu"/>
        <b/>
        <color rgb="FF000000"/>
        <sz val="11.0"/>
      </rPr>
      <t xml:space="preserve">CH PONTET CANET 2014 </t>
    </r>
    <r>
      <rPr>
        <rFont val="新細明體"/>
        <b/>
        <color rgb="FFFF0000"/>
        <sz val="11.0"/>
      </rPr>
      <t xml:space="preserve"> (1.5L) </t>
    </r>
  </si>
  <si>
    <r>
      <rPr>
        <rFont val="PMingLiu"/>
        <b/>
        <color rgb="FF000000"/>
        <sz val="11.0"/>
      </rPr>
      <t>朋特卡內城堡-</t>
    </r>
    <r>
      <rPr>
        <rFont val="新細明體"/>
        <b/>
        <color rgb="FFFF0000"/>
        <sz val="11.0"/>
      </rPr>
      <t>3入木盒</t>
    </r>
  </si>
  <si>
    <t>WS93/RP96</t>
  </si>
  <si>
    <t>SA045-07-G5</t>
  </si>
  <si>
    <t>CH Pontet Canet 2007</t>
  </si>
  <si>
    <t>朋特卡內城堡-木箱</t>
  </si>
  <si>
    <t>LD045-08-G5</t>
  </si>
  <si>
    <t>CH Pontet Canet 2008</t>
  </si>
  <si>
    <t>朋特卡內城堡-12入木箱</t>
  </si>
  <si>
    <t>WS92/RP96</t>
  </si>
  <si>
    <t xml:space="preserve">SA045-14-G5 </t>
  </si>
  <si>
    <t xml:space="preserve">CH PONTET CANET 2014  </t>
  </si>
  <si>
    <t>SA045-15-G5</t>
  </si>
  <si>
    <t>CH PONTET CANET 2015</t>
  </si>
  <si>
    <t>JS98/RP96+
WS94/WE97</t>
  </si>
  <si>
    <t>SA045-16-G5</t>
  </si>
  <si>
    <t>CH PONTET CANET 2016</t>
  </si>
  <si>
    <t>JS97/RP98
WE98/WS95</t>
  </si>
  <si>
    <t>JA045-16-G5</t>
  </si>
  <si>
    <t>MS045-17-G5</t>
  </si>
  <si>
    <t>CH PONTET CANET 2017</t>
  </si>
  <si>
    <t>JS96/RP96
WE96/WS94</t>
  </si>
  <si>
    <t>MG045-20-G5</t>
  </si>
  <si>
    <t xml:space="preserve">CH PONTET CANET 2020
</t>
  </si>
  <si>
    <t>RP92+/JS98</t>
  </si>
  <si>
    <t>MS045-20-G5</t>
  </si>
  <si>
    <t>JPM045-20-G5</t>
  </si>
  <si>
    <r>
      <rPr>
        <rFont val="PMingLiu"/>
        <b/>
        <color theme="1"/>
        <sz val="11.0"/>
      </rPr>
      <t xml:space="preserve">Château PONTET-CANET 2020                                                      </t>
    </r>
  </si>
  <si>
    <t>RP92+/JS98/WE97</t>
  </si>
  <si>
    <t>MD045-20-G5</t>
  </si>
  <si>
    <t>SA047-07-G5</t>
  </si>
  <si>
    <t>CH. Haut-Batailley 2007</t>
  </si>
  <si>
    <t>歐貝特利城堡-木箱</t>
  </si>
  <si>
    <t>MG051-19-G5</t>
  </si>
  <si>
    <r>
      <rPr>
        <rFont val="PMingLiu"/>
        <b/>
        <color rgb="FF000000"/>
        <sz val="11.0"/>
      </rPr>
      <t xml:space="preserve">Chateau Lynch-Moussas 2019                           </t>
    </r>
  </si>
  <si>
    <r>
      <rPr>
        <rFont val="PMingLiu"/>
        <b/>
        <color rgb="FF000000"/>
        <sz val="11.0"/>
      </rPr>
      <t>慕莎城堡-12入木箱</t>
    </r>
    <r>
      <rPr>
        <rFont val="新細明體"/>
        <b/>
        <color rgb="FFFF0000"/>
        <sz val="11.0"/>
      </rPr>
      <t>(100周年紀念酒)</t>
    </r>
  </si>
  <si>
    <t>RP91+/JS94</t>
  </si>
  <si>
    <t>MG051-20-G5</t>
  </si>
  <si>
    <r>
      <rPr>
        <rFont val="PMingLiu"/>
        <b/>
        <color rgb="FF000000"/>
        <sz val="11.0"/>
      </rPr>
      <t>Chateau Lynch-Moussas 2020</t>
    </r>
  </si>
  <si>
    <t>慕莎城堡-6入木箱</t>
  </si>
  <si>
    <t>RP89/JS94</t>
  </si>
  <si>
    <t>MG052-21-G5</t>
  </si>
  <si>
    <t xml:space="preserve">CH DAUZAC 2021
</t>
  </si>
  <si>
    <t>杜薩克城堡-6入木箱</t>
  </si>
  <si>
    <t>RP90/JS92/93</t>
  </si>
  <si>
    <t>MD055-15-G5</t>
  </si>
  <si>
    <t xml:space="preserve">CHATEAU HAUT BAGES LIBERAL 2015  </t>
  </si>
  <si>
    <t>歐貝吉立貝城堡-12入木箱</t>
  </si>
  <si>
    <t>JS94/RP83/WS89</t>
  </si>
  <si>
    <t>MG055-16-G5</t>
  </si>
  <si>
    <t>CHATEAU HAUT BAGES LIBERAL 2016</t>
  </si>
  <si>
    <t>歐貝吉立貝城堡-6入木箱</t>
  </si>
  <si>
    <t>JS94/RP92/WS92</t>
  </si>
  <si>
    <t>MG055-18-G5</t>
  </si>
  <si>
    <t>CHATEAU HAUT BAGES LIBERAL 2018</t>
  </si>
  <si>
    <t>JS97</t>
  </si>
  <si>
    <t>MS055-21-G5</t>
  </si>
  <si>
    <t xml:space="preserve">CHAT HAUT-BAGES-LIBERAL 2021                              </t>
  </si>
  <si>
    <t>RP92+/JS93/WS92</t>
  </si>
  <si>
    <t>DU058-21-G5</t>
  </si>
  <si>
    <r>
      <rPr>
        <rFont val="PMingLiu"/>
        <b/>
        <color theme="1"/>
        <sz val="11.0"/>
      </rPr>
      <t xml:space="preserve">Château DE CAMENSAC  2021                                 </t>
    </r>
  </si>
  <si>
    <t>卡門沙克城堡-12入木箱</t>
  </si>
  <si>
    <t>RP88/JS92/WS89</t>
  </si>
  <si>
    <t>LV060-09-G5</t>
  </si>
  <si>
    <t>Ch. Clerc Milon2009</t>
  </si>
  <si>
    <t>克雷米隆城堡-木箱</t>
  </si>
  <si>
    <t>MG060-21-G5</t>
  </si>
  <si>
    <t>Ch. Clerc Milon2021</t>
  </si>
  <si>
    <t>克雷米隆城堡-6入木箱</t>
  </si>
  <si>
    <t>MD060-21-G5</t>
  </si>
  <si>
    <r>
      <rPr>
        <rFont val="PMingLiu"/>
        <b/>
        <color theme="1"/>
        <sz val="11.0"/>
      </rPr>
      <t xml:space="preserve">CHATEAU CLERC MILON   2021                                        </t>
    </r>
  </si>
  <si>
    <r>
      <rPr>
        <rFont val="PMingLiu"/>
        <b/>
        <color theme="1"/>
        <sz val="11.0"/>
      </rPr>
      <t>克雷米隆城堡</t>
    </r>
    <r>
      <rPr>
        <rFont val="新細明體"/>
        <b/>
        <color rgb="FFFF0000"/>
        <sz val="11.0"/>
      </rPr>
      <t>(單一木盒)</t>
    </r>
  </si>
  <si>
    <t>DU061-21-G5</t>
  </si>
  <si>
    <r>
      <rPr>
        <rFont val="PMingLiu"/>
        <b/>
        <color theme="1"/>
        <sz val="11.0"/>
      </rPr>
      <t xml:space="preserve">Château CROIZET BAGES2021                                                                 </t>
    </r>
  </si>
  <si>
    <t>貝吉城堡-12入木箱</t>
  </si>
  <si>
    <t>RP88/JS91</t>
  </si>
  <si>
    <t>MS062-17-G5</t>
  </si>
  <si>
    <t xml:space="preserve">CH CANTEMERLE 2017 </t>
  </si>
  <si>
    <t>康特摩爾城堡-6入木箱</t>
  </si>
  <si>
    <t>JS92/RP89
WE93/WS90</t>
  </si>
  <si>
    <t>DU062-21-G5</t>
  </si>
  <si>
    <r>
      <rPr>
        <rFont val="PMingLiu"/>
        <b/>
        <color theme="1"/>
        <sz val="11.0"/>
      </rPr>
      <t xml:space="preserve">Château CANTEMERLE    2021                               </t>
    </r>
  </si>
  <si>
    <t>RP89/JS92/WE94</t>
  </si>
  <si>
    <t>MG184-20-G5</t>
  </si>
  <si>
    <t>CH D'ARMAILHAC 2020</t>
  </si>
  <si>
    <r>
      <rPr>
        <rFont val="PMingLiu"/>
        <b/>
        <color rgb="FF000000"/>
        <sz val="11.0"/>
      </rPr>
      <t>達瑪雅克城堡</t>
    </r>
    <r>
      <rPr>
        <rFont val="新細明體"/>
        <b/>
        <color rgb="FFFF0000"/>
        <sz val="11.0"/>
      </rPr>
      <t>(單一木盒)</t>
    </r>
  </si>
  <si>
    <t>JPM184-20-G5</t>
  </si>
  <si>
    <r>
      <rPr>
        <rFont val="PMingLiu"/>
        <b/>
        <color theme="1"/>
        <sz val="11.0"/>
      </rPr>
      <t xml:space="preserve">CH D'ARMAILHAC 2020                                                     </t>
    </r>
  </si>
  <si>
    <r>
      <rPr>
        <rFont val="PMingLiu"/>
        <b/>
        <color theme="1"/>
        <sz val="11.0"/>
      </rPr>
      <t>達瑪雅克城堡</t>
    </r>
    <r>
      <rPr>
        <rFont val="新細明體"/>
        <b/>
        <color rgb="FFFF0000"/>
        <sz val="11.0"/>
      </rPr>
      <t>(單一木盒)</t>
    </r>
  </si>
  <si>
    <t>DU184-21-G5</t>
  </si>
  <si>
    <r>
      <rPr>
        <rFont val="PMingLiu"/>
        <b/>
        <color theme="1"/>
        <sz val="11.0"/>
      </rPr>
      <t xml:space="preserve">Château D'ARMAILHAC2021                                            </t>
    </r>
  </si>
  <si>
    <t>達瑪雅克城堡-6入木箱</t>
  </si>
  <si>
    <t>RP92/JS92</t>
  </si>
  <si>
    <t>MS184-21-G5</t>
  </si>
  <si>
    <r>
      <rPr>
        <rFont val="PMingLiu"/>
        <b/>
        <color theme="1"/>
        <sz val="11.0"/>
      </rPr>
      <t xml:space="preserve">CHAT D'ARMAILHAC2021                                     </t>
    </r>
    <r>
      <rPr>
        <rFont val="新細明體"/>
        <b/>
        <color rgb="FFFF0000"/>
        <sz val="11.0"/>
      </rPr>
      <t xml:space="preserve">  </t>
    </r>
  </si>
  <si>
    <r>
      <rPr>
        <rFont val="PMingLiu"/>
        <b/>
        <color theme="1"/>
        <sz val="11.0"/>
      </rPr>
      <t>達瑪雅克城堡</t>
    </r>
    <r>
      <rPr>
        <rFont val="新細明體"/>
        <b/>
        <color rgb="FFFF0000"/>
        <sz val="11.0"/>
      </rPr>
      <t>(單一木盒)</t>
    </r>
  </si>
  <si>
    <t>MG184-21-G5</t>
  </si>
  <si>
    <t>CH D'ARMAILHAC 2021</t>
  </si>
  <si>
    <t>JA184-21-G5</t>
  </si>
  <si>
    <r>
      <rPr>
        <rFont val="PMingLiu"/>
        <b/>
        <color theme="1"/>
        <sz val="11.0"/>
      </rPr>
      <t xml:space="preserve">2021CH D'ARMAILHAC2021                                                                            </t>
    </r>
  </si>
  <si>
    <t>MD184-21-G5</t>
  </si>
  <si>
    <r>
      <rPr>
        <rFont val="PMingLiu"/>
        <b/>
        <color theme="1"/>
        <sz val="11.0"/>
      </rPr>
      <t xml:space="preserve">CHATEAU D'ARMAILHAC  2021                                        </t>
    </r>
    <r>
      <rPr>
        <rFont val="新細明體"/>
        <b/>
        <color rgb="FFFF0000"/>
        <sz val="11.0"/>
      </rPr>
      <t xml:space="preserve">  </t>
    </r>
  </si>
  <si>
    <r>
      <rPr>
        <rFont val="PMingLiu"/>
        <b/>
        <color theme="1"/>
        <sz val="11.0"/>
      </rPr>
      <t>達瑪雅克城堡</t>
    </r>
    <r>
      <rPr>
        <rFont val="新細明體"/>
        <b/>
        <color rgb="FFFF0000"/>
        <sz val="11.0"/>
      </rPr>
      <t>(單一木盒)</t>
    </r>
  </si>
  <si>
    <t>LD184-21-G5</t>
  </si>
  <si>
    <t xml:space="preserve">CH D'ARMAILHAC      2021                                                                         </t>
  </si>
  <si>
    <t>JPM184-21-G5</t>
  </si>
  <si>
    <r>
      <rPr>
        <rFont val="PMingLiu"/>
        <b/>
        <color theme="1"/>
        <sz val="11.0"/>
      </rPr>
      <t xml:space="preserve">CH D'ARMAILHAC    2021                                   </t>
    </r>
  </si>
  <si>
    <t>LD184-22-G5</t>
  </si>
  <si>
    <t xml:space="preserve">CH D'ARMAILHAC2022                                                                                                                                    </t>
  </si>
  <si>
    <t>RP94/JS97/WE94</t>
  </si>
  <si>
    <t>MS184-22-G5</t>
  </si>
  <si>
    <t xml:space="preserve">CH D'ARMAILHAC2022                                                                                                                                   </t>
  </si>
  <si>
    <t>JA184-22-G5</t>
  </si>
  <si>
    <t xml:space="preserve">CH D'ARMAILHAC  2022                                                                                                          </t>
  </si>
  <si>
    <t>SA191-08-G5</t>
  </si>
  <si>
    <t>CH. Grand Puy Lacoste</t>
  </si>
  <si>
    <t>拉寇斯特城堡-木箱</t>
  </si>
  <si>
    <t>MG191-21-G5</t>
  </si>
  <si>
    <t xml:space="preserve">CH GRAND PUY LACOSTE   2021                                                    </t>
  </si>
  <si>
    <t>拉寇斯特城堡-6入木箱</t>
  </si>
  <si>
    <t>RP94/JS95/ WS92</t>
  </si>
  <si>
    <t>MD-224-15-SE</t>
  </si>
  <si>
    <t xml:space="preserve">CHATEAU PHELAN SEGUR 2015                       </t>
  </si>
  <si>
    <r>
      <rPr>
        <rFont val="PMingLiu"/>
        <b/>
        <color rgb="FF000000"/>
        <sz val="11.0"/>
      </rPr>
      <t xml:space="preserve">飛龍世家城堡-6入木箱
</t>
    </r>
    <r>
      <rPr>
        <rFont val="新細明體"/>
        <b/>
        <color rgb="FFFF0000"/>
        <sz val="11.0"/>
      </rPr>
      <t xml:space="preserve">(原廠情人節限量愛心紙盒) </t>
    </r>
  </si>
  <si>
    <t>RP94+/JS96</t>
  </si>
  <si>
    <t>P001</t>
  </si>
  <si>
    <t>Ch. Lynch Bages</t>
  </si>
  <si>
    <t>林奇貝吉</t>
  </si>
  <si>
    <t>P002</t>
  </si>
  <si>
    <t>Ch Pichon Lalande (longueville)</t>
  </si>
  <si>
    <t>MD047-18-G5S</t>
  </si>
  <si>
    <t xml:space="preserve">HAUT BATAILLEY VERSO2018 </t>
  </si>
  <si>
    <t>歐貝特利城堡副牌-6入木箱</t>
  </si>
  <si>
    <t>JS92/ WS88</t>
  </si>
  <si>
    <t>MD060-20-G5S</t>
  </si>
  <si>
    <t xml:space="preserve">PASTOURELLE DE CLERC MILON 2020
</t>
  </si>
  <si>
    <t>克雷米隆城堡副牌-6入木箱</t>
  </si>
  <si>
    <t>RP90/JS93</t>
  </si>
  <si>
    <t>MD060-21-G5S</t>
  </si>
  <si>
    <t xml:space="preserve">PASTOURELLE DE CLERC MILON 2021                                         </t>
  </si>
  <si>
    <t>RP89/JS92/WE95</t>
  </si>
  <si>
    <t>＊布根地</t>
  </si>
  <si>
    <t>FR-DE09301-10</t>
  </si>
  <si>
    <t>Vosne Romanée, Domaine d'Eugénie 2010</t>
  </si>
  <si>
    <t>馮內-侯瑪內歐熱妮紅酒</t>
  </si>
  <si>
    <t>FR-DE09303-11</t>
  </si>
  <si>
    <t>Vosne Les Brûlées, Domaine d'Eugénie 2011</t>
  </si>
  <si>
    <t>馮內-歐熱妮拉斯布列斯紅酒</t>
  </si>
  <si>
    <t>FR-DE22601-11</t>
  </si>
  <si>
    <t>Echézeaux, Domaine d'Eugénie 2011</t>
  </si>
  <si>
    <t>艾雪索歐熱妮紅酒</t>
  </si>
  <si>
    <t>FR-RC07601-10</t>
  </si>
  <si>
    <t>Nuits St Georges VV, Domaine Robert Chevillon 2010</t>
  </si>
  <si>
    <t xml:space="preserve">夜-聖喬治羅伯特夏維濃紅酒 </t>
  </si>
  <si>
    <t>GH-PRWT-08-SH</t>
  </si>
  <si>
    <t>Penfolds RWT Shiraz 2008</t>
  </si>
  <si>
    <t>奔騰紅酒</t>
  </si>
  <si>
    <t>＊USA</t>
  </si>
  <si>
    <t>JA-OPUSONE-06-1</t>
  </si>
  <si>
    <r>
      <rPr>
        <rFont val="PMingLiu"/>
        <b/>
        <color theme="1"/>
        <sz val="11.0"/>
      </rPr>
      <t>OPUS ONE 2006</t>
    </r>
    <r>
      <rPr>
        <rFont val="新細明體"/>
        <b/>
        <color rgb="FFFF0000"/>
        <sz val="11.0"/>
      </rPr>
      <t>(1.5L)</t>
    </r>
  </si>
  <si>
    <t>第一樂章-木箱</t>
  </si>
  <si>
    <t>MG-OPUSONE-13-MG</t>
  </si>
  <si>
    <r>
      <rPr>
        <rFont val="PMingLiu"/>
        <b/>
        <color theme="1"/>
        <sz val="11.0"/>
      </rPr>
      <t>OPUS ONE 2013</t>
    </r>
    <r>
      <rPr>
        <rFont val="新細明體"/>
        <b/>
        <color rgb="FFFF0000"/>
        <sz val="11.0"/>
      </rPr>
      <t>(1.5L)</t>
    </r>
  </si>
  <si>
    <r>
      <rPr>
        <rFont val="PMingLiu"/>
        <b/>
        <color rgb="FF000000"/>
        <sz val="11.0"/>
      </rPr>
      <t>第一樂章-</t>
    </r>
    <r>
      <rPr>
        <rFont val="新細明體"/>
        <b/>
        <color rgb="FFFF0000"/>
        <sz val="11.0"/>
      </rPr>
      <t>3入木盒</t>
    </r>
  </si>
  <si>
    <t>JS100/2016百大第一</t>
  </si>
  <si>
    <t>MG-OPUSONE-14-MG</t>
  </si>
  <si>
    <r>
      <rPr>
        <rFont val="PMingLiu"/>
        <b/>
        <color theme="1"/>
        <sz val="11.0"/>
      </rPr>
      <t>OPUS ONE 2014</t>
    </r>
    <r>
      <rPr>
        <rFont val="新細明體"/>
        <b/>
        <color rgb="FFFF0000"/>
        <sz val="11.0"/>
      </rPr>
      <t>(1.5L)</t>
    </r>
  </si>
  <si>
    <r>
      <rPr>
        <rFont val="PMingLiu"/>
        <b/>
        <color rgb="FF000000"/>
        <sz val="11.0"/>
      </rPr>
      <t>第一樂章-</t>
    </r>
    <r>
      <rPr>
        <rFont val="新細明體"/>
        <b/>
        <color rgb="FFFF0000"/>
        <sz val="11.0"/>
      </rPr>
      <t>3入木盒</t>
    </r>
  </si>
  <si>
    <t>JS97/RP96/WS93</t>
  </si>
  <si>
    <t>MD-OPUS ONE-15-MG</t>
  </si>
  <si>
    <r>
      <rPr>
        <rFont val="PMingLiu"/>
        <b/>
        <color rgb="FF000000"/>
        <sz val="11.0"/>
      </rPr>
      <t>OPUS ONE 2015</t>
    </r>
    <r>
      <rPr>
        <rFont val="新細明體"/>
        <b/>
        <color rgb="FFFF0000"/>
        <sz val="11.0"/>
      </rPr>
      <t>(1.5L)</t>
    </r>
  </si>
  <si>
    <r>
      <rPr>
        <rFont val="PMingLiu"/>
        <b/>
        <color rgb="FF000000"/>
        <sz val="11.0"/>
      </rPr>
      <t>第一樂章-</t>
    </r>
    <r>
      <rPr>
        <rFont val="新細明體"/>
        <b/>
        <color rgb="FFFF0000"/>
        <sz val="11.0"/>
      </rPr>
      <t>3入木盒</t>
    </r>
  </si>
  <si>
    <t>RP97/ JS98 /WS93</t>
  </si>
  <si>
    <t>MD-OPUS ONE-16-MG</t>
  </si>
  <si>
    <r>
      <rPr>
        <rFont val="PMingLiu"/>
        <b/>
        <color rgb="FF000000"/>
        <sz val="11.0"/>
      </rPr>
      <t>OPUS ONE 2016</t>
    </r>
    <r>
      <rPr>
        <rFont val="新細明體"/>
        <b/>
        <color rgb="FFFF0000"/>
        <sz val="11.0"/>
      </rPr>
      <t>(1.5L)</t>
    </r>
  </si>
  <si>
    <r>
      <rPr>
        <rFont val="PMingLiu"/>
        <b/>
        <color rgb="FF000000"/>
        <sz val="11.0"/>
      </rPr>
      <t>第一樂章-</t>
    </r>
    <r>
      <rPr>
        <rFont val="新細明體"/>
        <b/>
        <color rgb="FFFF0000"/>
        <sz val="11.0"/>
      </rPr>
      <t>3入木盒</t>
    </r>
  </si>
  <si>
    <t>JS99/RP98</t>
  </si>
  <si>
    <t>MD-OPUS ONE-17-MG</t>
  </si>
  <si>
    <r>
      <rPr>
        <rFont val="PMingLiu"/>
        <b/>
        <color rgb="FF000000"/>
        <sz val="11.0"/>
      </rPr>
      <t>OPUS ONE 2017</t>
    </r>
    <r>
      <rPr>
        <rFont val="新細明體"/>
        <b/>
        <color rgb="FFFF0000"/>
        <sz val="11.0"/>
      </rPr>
      <t>(1.5L)</t>
    </r>
  </si>
  <si>
    <r>
      <rPr>
        <rFont val="PMingLiu"/>
        <b/>
        <color rgb="FF000000"/>
        <sz val="11.0"/>
      </rPr>
      <t>第一樂章-</t>
    </r>
    <r>
      <rPr>
        <rFont val="新細明體"/>
        <b/>
        <color rgb="FFFF0000"/>
        <sz val="11.0"/>
      </rPr>
      <t>3入木盒</t>
    </r>
  </si>
  <si>
    <t>RP95/JS95</t>
  </si>
  <si>
    <t>JA-OPUSONE-09</t>
  </si>
  <si>
    <t>OPUS ONE 2009</t>
  </si>
  <si>
    <t>DI-OPUSONE-10</t>
  </si>
  <si>
    <t>OPUS ONE 2010</t>
  </si>
  <si>
    <t>LV-OPUSONE-11</t>
  </si>
  <si>
    <t>OPUS ONE 2011</t>
  </si>
  <si>
    <t>JA-OPUSONE-12</t>
  </si>
  <si>
    <t>OPUS ONE 2012</t>
  </si>
  <si>
    <t>第一樂章-6入木箱</t>
  </si>
  <si>
    <t xml:space="preserve">JA-OPUS ONE-13 </t>
  </si>
  <si>
    <t xml:space="preserve">OPUS ONE 2013 </t>
  </si>
  <si>
    <t>JS100
2016百大第一</t>
  </si>
  <si>
    <t xml:space="preserve">LD-OPUS ONE-14 </t>
  </si>
  <si>
    <t xml:space="preserve">OPUS ONE 2014 </t>
  </si>
  <si>
    <t>JA-OPUS ONE-15</t>
  </si>
  <si>
    <t>OPUS ONE 2015</t>
  </si>
  <si>
    <t>JS98/RP97+</t>
  </si>
  <si>
    <t>LD-OPUS ONE-16</t>
  </si>
  <si>
    <t>OPUS ONE 2016</t>
  </si>
  <si>
    <t>LD-OPUS ONE-17</t>
  </si>
  <si>
    <t>OPUS ONE 2017</t>
  </si>
  <si>
    <t>RP95/ JS95 /WS93</t>
  </si>
  <si>
    <t>JA-OPUS ONE-17</t>
  </si>
  <si>
    <t>MD-OPUS ONE-18</t>
  </si>
  <si>
    <t xml:space="preserve">OPUS ONE 2018                                                       </t>
  </si>
  <si>
    <t>RP98 / JS99</t>
  </si>
  <si>
    <t>JA-OPUS ONE-18</t>
  </si>
  <si>
    <t xml:space="preserve">OPUS ONE  2018                                                  </t>
  </si>
  <si>
    <t>MG-OPUS ONE-18</t>
  </si>
  <si>
    <t xml:space="preserve">OPUS ONE  2018                                                                             </t>
  </si>
  <si>
    <t>LD-OPUS ONE-18</t>
  </si>
  <si>
    <t>OPUS ONE 2018</t>
  </si>
  <si>
    <t>MD-OPUS ONE-19</t>
  </si>
  <si>
    <t xml:space="preserve">OPUS ONE 2019                                                       </t>
  </si>
  <si>
    <t>RP98/JS99/WS94</t>
  </si>
  <si>
    <t>LD-OPUS ONE-19</t>
  </si>
  <si>
    <t xml:space="preserve">OPUS ONE 2019                                                               </t>
  </si>
  <si>
    <t xml:space="preserve">OPUS ONE 2019                                                              </t>
  </si>
  <si>
    <t>DU-OPUS ONE-19</t>
  </si>
  <si>
    <r>
      <rPr>
        <rFont val="PMingLiu"/>
        <b/>
        <color theme="1"/>
        <sz val="11.0"/>
      </rPr>
      <t xml:space="preserve">OPUS ONE 2019                                                        </t>
    </r>
  </si>
  <si>
    <r>
      <rPr>
        <rFont val="PMingLiu"/>
        <b/>
        <color theme="1"/>
        <sz val="11.0"/>
      </rPr>
      <t xml:space="preserve">OPUS ONE 2019                                                     </t>
    </r>
  </si>
  <si>
    <t>JA-OPUS ONE-19</t>
  </si>
  <si>
    <t xml:space="preserve">OPUS ONE 2019                                                                </t>
  </si>
  <si>
    <t>LV-OPUSONE-11-1</t>
  </si>
  <si>
    <r>
      <rPr>
        <rFont val="PMingLiu"/>
        <b/>
        <color rgb="FF000000"/>
        <sz val="11.0"/>
      </rPr>
      <t>OPUS ONE 2011</t>
    </r>
    <r>
      <rPr>
        <rFont val="新細明體"/>
        <b/>
        <color rgb="FFFF0000"/>
        <sz val="11.0"/>
      </rPr>
      <t>(375ML)</t>
    </r>
  </si>
  <si>
    <t>第一樂章-12入木箱</t>
  </si>
  <si>
    <t>DU-OPUS ONE-17-1</t>
  </si>
  <si>
    <r>
      <rPr>
        <rFont val="PMingLiu"/>
        <b/>
        <color rgb="FF000000"/>
        <sz val="11.0"/>
      </rPr>
      <t>OPUS ONE 2017</t>
    </r>
    <r>
      <rPr>
        <rFont val="新細明體"/>
        <b/>
        <color rgb="FFFF0000"/>
        <sz val="11.0"/>
      </rPr>
      <t>(375ML)</t>
    </r>
  </si>
  <si>
    <t>DU-OPUS ONE-18-1</t>
  </si>
  <si>
    <r>
      <rPr>
        <rFont val="PMingLiu"/>
        <b/>
        <color rgb="FF000000"/>
        <sz val="11.0"/>
      </rPr>
      <t>OPUS ONE 2018</t>
    </r>
    <r>
      <rPr>
        <rFont val="新細明體"/>
        <b/>
        <color rgb="FFFF0000"/>
        <sz val="11.0"/>
      </rPr>
      <t>(375ML)</t>
    </r>
  </si>
  <si>
    <t>MD-OPUS ONE-18-1</t>
  </si>
  <si>
    <r>
      <rPr>
        <rFont val="PMingLiu"/>
        <b/>
        <color rgb="FF000000"/>
        <sz val="11.0"/>
      </rPr>
      <t>OPUS ONE 2018</t>
    </r>
    <r>
      <rPr>
        <rFont val="新細明體"/>
        <b/>
        <color rgb="FFFF0000"/>
        <sz val="11.0"/>
      </rPr>
      <t>(375ML)</t>
    </r>
  </si>
  <si>
    <t>MD-OPUS ONE-19-1</t>
  </si>
  <si>
    <r>
      <rPr>
        <rFont val="PMingLiu"/>
        <b/>
        <color rgb="FF000000"/>
        <sz val="11.0"/>
      </rPr>
      <t>OPUS ONE 2019</t>
    </r>
    <r>
      <rPr>
        <rFont val="新細明體"/>
        <b/>
        <color rgb="FFFF0000"/>
        <sz val="11.0"/>
      </rPr>
      <t>(3</t>
    </r>
    <r>
      <rPr>
        <rFont val="新細明體"/>
        <b/>
        <color rgb="FFFF0000"/>
        <sz val="11.0"/>
      </rPr>
      <t>75ML)</t>
    </r>
  </si>
  <si>
    <t>MG-OPUS ONE-18S</t>
  </si>
  <si>
    <t xml:space="preserve">OVERTURE </t>
  </si>
  <si>
    <t>opus one副牌-6入木箱</t>
  </si>
  <si>
    <t>MD-OPUS ONE-19S</t>
  </si>
  <si>
    <t xml:space="preserve">OVERTURE                                                            </t>
  </si>
  <si>
    <t>第一樂章副牌-6入木箱</t>
  </si>
  <si>
    <t>MG-OPUS ONE-19S</t>
  </si>
  <si>
    <t>JA-OPUS ONE-20S</t>
  </si>
  <si>
    <r>
      <rPr>
        <rFont val="PMingLiu"/>
        <b/>
        <color theme="1"/>
        <sz val="11.0"/>
      </rPr>
      <t xml:space="preserve">OVERTURE                                                                   </t>
    </r>
  </si>
  <si>
    <t>DU-OPUS ONE-20S</t>
  </si>
  <si>
    <r>
      <rPr>
        <rFont val="PMingLiu"/>
        <b/>
        <color theme="1"/>
        <sz val="11.0"/>
      </rPr>
      <t xml:space="preserve">OVERTURE                                                              </t>
    </r>
  </si>
  <si>
    <t>MG-OPUS ONE-20S</t>
  </si>
  <si>
    <t xml:space="preserve">OVERTURE                                                                         </t>
  </si>
  <si>
    <t>OPUS ONE-2011-S</t>
  </si>
  <si>
    <t>OPUS ONE 2011(樣品)</t>
  </si>
  <si>
    <t>OPUS ONE-2012-S</t>
  </si>
  <si>
    <r>
      <rPr>
        <rFont val="PMingLiu"/>
        <b/>
        <color rgb="FF000000"/>
        <sz val="11.0"/>
      </rPr>
      <t>OPUS ONE 2012(樣品)</t>
    </r>
  </si>
  <si>
    <t>OPUS ONE-2013-S</t>
  </si>
  <si>
    <r>
      <rPr>
        <rFont val="PMingLiu"/>
        <b/>
        <color rgb="FF000000"/>
        <sz val="11.0"/>
      </rPr>
      <t>OPUS ONE 2013(樣品)</t>
    </r>
  </si>
  <si>
    <t>OPUS ONE-2015-S</t>
  </si>
  <si>
    <t>OPUS ONE 2015(樣品)</t>
  </si>
  <si>
    <t>OPUS ONE-2015-S-S</t>
  </si>
  <si>
    <t>OPUS ONE 2015副牌(樣品)</t>
  </si>
  <si>
    <t xml:space="preserve">opus one副牌 </t>
  </si>
  <si>
    <t>OPUS ONE 2019-S</t>
  </si>
  <si>
    <r>
      <rPr>
        <rFont val="PMingLiu"/>
        <b/>
        <color rgb="FF000000"/>
        <sz val="11.0"/>
      </rPr>
      <t>OPUS ONE(樣品)</t>
    </r>
    <r>
      <rPr>
        <rFont val="新細明體"/>
        <b/>
        <color rgb="FFFF0000"/>
        <sz val="11.0"/>
      </rPr>
      <t>(1.5L)</t>
    </r>
  </si>
  <si>
    <t>OPUS ONE-2017-S</t>
  </si>
  <si>
    <r>
      <rPr>
        <rFont val="PMingLiu"/>
        <b/>
        <color rgb="FF000000"/>
        <sz val="11.0"/>
      </rPr>
      <t>OPUS ONE(樣品)</t>
    </r>
    <r>
      <rPr>
        <rFont val="新細明體"/>
        <b/>
        <color rgb="FFFF0000"/>
        <sz val="11.0"/>
      </rPr>
      <t>(375ML)</t>
    </r>
  </si>
  <si>
    <t>OVERTURE-S</t>
  </si>
  <si>
    <t>OPUS ONE副牌(樣品)</t>
  </si>
  <si>
    <t>第一樂章 副牌</t>
  </si>
  <si>
    <t>＊ 義大利頂級酒</t>
  </si>
  <si>
    <t>SV-MASSETO-15</t>
  </si>
  <si>
    <t>Masseto 2015</t>
  </si>
  <si>
    <r>
      <rPr>
        <rFont val="PMingLiu"/>
        <b/>
        <color rgb="FF000000"/>
        <sz val="11.0"/>
      </rPr>
      <t>馬賽多紅葡萄酒-</t>
    </r>
    <r>
      <rPr>
        <rFont val="新細明體"/>
        <b/>
        <color rgb="FFFF0000"/>
        <sz val="11.0"/>
      </rPr>
      <t>3入木盒</t>
    </r>
  </si>
  <si>
    <t>DI-SOLAIA-15</t>
  </si>
  <si>
    <t>Solaia 2015</t>
  </si>
  <si>
    <t>索拉亞紅葡萄酒-6入木箱</t>
  </si>
  <si>
    <t>RP100/WE98/JS100</t>
  </si>
  <si>
    <t>MD-BIBI-01-SET-07-19</t>
  </si>
  <si>
    <t xml:space="preserve">BIBI GRAETZ COLORE SET                                                            2003/2008/2015/2016/2018/2019                                                   </t>
  </si>
  <si>
    <r>
      <rPr>
        <rFont val="PMingLiu"/>
        <b/>
        <color theme="1"/>
        <sz val="11.0"/>
      </rPr>
      <t xml:space="preserve">畢比格雷茲真實色彩套組-6入木箱
</t>
    </r>
    <r>
      <rPr>
        <rFont val="新細明體"/>
        <b/>
        <color rgb="FFFF0000"/>
        <sz val="11.0"/>
      </rPr>
      <t>(20周年限量套組)</t>
    </r>
  </si>
  <si>
    <t>DE92/JS99/JS98
JS97/JS99/JS99</t>
  </si>
  <si>
    <t>套</t>
  </si>
  <si>
    <t>MD-BIBI-02-SET-07-19</t>
  </si>
  <si>
    <t xml:space="preserve">BIBI GRAETZ TESTAMATTA SET                                                                       2007/2012/2012/2015/2018/2019                                                    </t>
  </si>
  <si>
    <r>
      <rPr>
        <rFont val="PMingLiu"/>
        <b/>
        <color rgb="FF000000"/>
        <sz val="11.0"/>
      </rPr>
      <t xml:space="preserve">畢比格雷茲極度燒腦紅葡萄酒-6入木箱
</t>
    </r>
    <r>
      <rPr>
        <rFont val="新細明體"/>
        <b/>
        <color rgb="FFFF0000"/>
        <sz val="11.0"/>
      </rPr>
      <t>(20周年限量套組)</t>
    </r>
  </si>
  <si>
    <t>JS96/JS95/JS97/
JS99/DE100/JS97</t>
  </si>
  <si>
    <t>DU-BIBI-01-19</t>
  </si>
  <si>
    <t xml:space="preserve">Bibi Graetz Colore 2019                                              </t>
  </si>
  <si>
    <r>
      <rPr>
        <rFont val="PMingLiu"/>
        <b/>
        <color rgb="FF000000"/>
        <sz val="11.0"/>
      </rPr>
      <t>畢比格雷茲真實色彩紅葡萄酒-</t>
    </r>
    <r>
      <rPr>
        <rFont val="新細明體"/>
        <b/>
        <color rgb="FFFF0000"/>
        <sz val="11.0"/>
      </rPr>
      <t>3入木盒</t>
    </r>
    <r>
      <rPr>
        <rFont val="新細明體"/>
        <b/>
        <color rgb="FF000000"/>
        <sz val="11.0"/>
      </rPr>
      <t xml:space="preserve">
</t>
    </r>
    <r>
      <rPr>
        <rFont val="新細明體"/>
        <b/>
        <color rgb="FFFF0000"/>
        <sz val="11.0"/>
      </rPr>
      <t>20周年紀念標</t>
    </r>
  </si>
  <si>
    <t>RP96/JA99</t>
  </si>
  <si>
    <t>JA-BIBI-01-19</t>
  </si>
  <si>
    <r>
      <rPr>
        <rFont val="PMingLiu"/>
        <b/>
        <color rgb="FF000000"/>
        <sz val="11.0"/>
      </rPr>
      <t>畢比格雷茲真實色彩紅葡萄酒-</t>
    </r>
    <r>
      <rPr>
        <rFont val="新細明體"/>
        <b/>
        <color rgb="FFFF0000"/>
        <sz val="11.0"/>
      </rPr>
      <t>3入木盒</t>
    </r>
    <r>
      <rPr>
        <rFont val="新細明體"/>
        <b/>
        <color rgb="FF000000"/>
        <sz val="11.0"/>
      </rPr>
      <t xml:space="preserve">
</t>
    </r>
    <r>
      <rPr>
        <rFont val="新細明體"/>
        <b/>
        <color rgb="FFFF0000"/>
        <sz val="11.0"/>
      </rPr>
      <t>20周年紀念標</t>
    </r>
  </si>
  <si>
    <t>MD-BIBI-01-19</t>
  </si>
  <si>
    <r>
      <rPr>
        <rFont val="PMingLiu"/>
        <b/>
        <color rgb="FF000000"/>
        <sz val="11.0"/>
      </rPr>
      <t>畢比格雷茲真實色彩紅葡萄酒</t>
    </r>
    <r>
      <rPr>
        <rFont val="新細明體"/>
        <b/>
        <color rgb="FFFF0000"/>
        <sz val="11.0"/>
      </rPr>
      <t>-3入木盒</t>
    </r>
    <r>
      <rPr>
        <rFont val="新細明體"/>
        <b/>
        <color rgb="FF000000"/>
        <sz val="11.0"/>
      </rPr>
      <t xml:space="preserve">
</t>
    </r>
    <r>
      <rPr>
        <rFont val="新細明體"/>
        <b/>
        <color rgb="FFFF0000"/>
        <sz val="11.0"/>
      </rPr>
      <t>20周年紀念標</t>
    </r>
  </si>
  <si>
    <t>DU-BIBI-02-19</t>
  </si>
  <si>
    <t xml:space="preserve">Bibi Graetz Testamatta 2019                                                                      </t>
  </si>
  <si>
    <r>
      <rPr>
        <rFont val="PMingLiu"/>
        <b/>
        <color rgb="FF000000"/>
        <sz val="11.0"/>
      </rPr>
      <t xml:space="preserve">畢比格雷茲極度燒腦紅葡萄酒-6入木箱
</t>
    </r>
    <r>
      <rPr>
        <rFont val="新細明體"/>
        <b/>
        <color rgb="FFFF0000"/>
        <sz val="11.0"/>
      </rPr>
      <t>20周年紀念標</t>
    </r>
  </si>
  <si>
    <t>RP94/JA97</t>
  </si>
  <si>
    <t>JA-BIBI-02-19</t>
  </si>
  <si>
    <r>
      <rPr>
        <rFont val="PMingLiu"/>
        <b/>
        <color rgb="FF000000"/>
        <sz val="11.0"/>
      </rPr>
      <t xml:space="preserve">畢比格雷茲極度燒腦紅葡萄酒-6入木箱
</t>
    </r>
    <r>
      <rPr>
        <rFont val="新細明體"/>
        <b/>
        <color rgb="FFFF0000"/>
        <sz val="11.0"/>
      </rPr>
      <t>20周年紀念標</t>
    </r>
  </si>
  <si>
    <t>MD-BIBI-02-19</t>
  </si>
  <si>
    <r>
      <rPr>
        <rFont val="PMingLiu"/>
        <b/>
        <color rgb="FF000000"/>
        <sz val="11.0"/>
      </rPr>
      <t xml:space="preserve">畢比格雷茲極度燒腦紅葡萄酒-6入木箱
</t>
    </r>
    <r>
      <rPr>
        <rFont val="新細明體"/>
        <b/>
        <color rgb="FFFF0000"/>
        <sz val="11.0"/>
      </rPr>
      <t>20周年紀念標</t>
    </r>
  </si>
  <si>
    <t>＊ 智利 阿根廷</t>
  </si>
  <si>
    <t>MG-CHADWICK-16</t>
  </si>
  <si>
    <t>Vinedo Chadwick 2016</t>
  </si>
  <si>
    <r>
      <rPr>
        <rFont val="PMingLiu"/>
        <b/>
        <color theme="1"/>
        <sz val="11.0"/>
      </rPr>
      <t>查德維克旗艦紅葡萄酒-</t>
    </r>
    <r>
      <rPr>
        <rFont val="新細明體"/>
        <b/>
        <color rgb="FFFF0000"/>
        <sz val="11.0"/>
      </rPr>
      <t>3入木盒</t>
    </r>
  </si>
  <si>
    <t>RP96/JS99</t>
  </si>
  <si>
    <t>MG-CHADWICK-17</t>
  </si>
  <si>
    <t>Vinedo Chadwick 2017</t>
  </si>
  <si>
    <r>
      <rPr>
        <rFont val="PMingLiu"/>
        <b/>
        <color theme="1"/>
        <sz val="11.0"/>
      </rPr>
      <t>查德維克旗艦紅葡萄酒-</t>
    </r>
    <r>
      <rPr>
        <rFont val="新細明體"/>
        <b/>
        <color rgb="FFFF0000"/>
        <sz val="11.0"/>
      </rPr>
      <t>3入木盒</t>
    </r>
  </si>
  <si>
    <t>JS100/RP96+</t>
  </si>
  <si>
    <t>MG-CHADWICK-18</t>
  </si>
  <si>
    <t>Vinedo Chadwick 2018</t>
  </si>
  <si>
    <r>
      <rPr>
        <rFont val="PMingLiu"/>
        <b/>
        <color theme="1"/>
        <sz val="11.0"/>
      </rPr>
      <t>查德維克旗艦紅葡萄酒-</t>
    </r>
    <r>
      <rPr>
        <rFont val="新細明體"/>
        <b/>
        <color rgb="FFFF0000"/>
        <sz val="11.0"/>
      </rPr>
      <t>3入木盒</t>
    </r>
  </si>
  <si>
    <t>RP97/ JS98 /WS94</t>
  </si>
  <si>
    <t>MG-CHADWICK-19</t>
  </si>
  <si>
    <t>Vinedo Chadwick 2019</t>
  </si>
  <si>
    <r>
      <rPr>
        <rFont val="PMingLiu"/>
        <b/>
        <color theme="1"/>
        <sz val="11.0"/>
      </rPr>
      <t>查德維克旗艦紅葡萄酒-</t>
    </r>
    <r>
      <rPr>
        <rFont val="新細明體"/>
        <b/>
        <color rgb="FFFF0000"/>
        <sz val="11.0"/>
      </rPr>
      <t>3入木盒</t>
    </r>
  </si>
  <si>
    <t>MG-CHADWICK-20</t>
  </si>
  <si>
    <t>Vinedo Chadwick 2020</t>
  </si>
  <si>
    <r>
      <rPr>
        <rFont val="PMingLiu"/>
        <b/>
        <color theme="1"/>
        <sz val="11.0"/>
      </rPr>
      <t>查德維克旗艦紅葡萄酒-</t>
    </r>
    <r>
      <rPr>
        <rFont val="新細明體"/>
        <b/>
        <color rgb="FFFF0000"/>
        <sz val="11.0"/>
      </rPr>
      <t>3入木盒</t>
    </r>
  </si>
  <si>
    <t>MD-CHEVAL ANDES-16</t>
  </si>
  <si>
    <t>CHEVAL DES ANDES 2016</t>
  </si>
  <si>
    <r>
      <rPr>
        <rFont val="PMingLiu"/>
        <b/>
        <color theme="1"/>
        <sz val="11.0"/>
      </rPr>
      <t>安地斯白馬堡 /</t>
    </r>
    <r>
      <rPr>
        <rFont val="新細明體"/>
        <b/>
        <color rgb="FF0070C0"/>
        <sz val="11.0"/>
      </rPr>
      <t xml:space="preserve"> 6瓶紙箱</t>
    </r>
  </si>
  <si>
    <t>RP97+ /SJ98</t>
  </si>
  <si>
    <t>DI-ALMAVIVA-15</t>
  </si>
  <si>
    <t>ALMAVIVA 2015</t>
  </si>
  <si>
    <t>智利王 (阿瑪維瓦)-6入木箱</t>
  </si>
  <si>
    <t>JS100/2017百大第一</t>
  </si>
  <si>
    <t>DI-ALMAVIVA-16</t>
  </si>
  <si>
    <t>ALMAVIVA 2016</t>
  </si>
  <si>
    <t>JS97/RP95</t>
  </si>
  <si>
    <t>MD-ALMAVIVA-17</t>
  </si>
  <si>
    <t>ALMAVIVA 2017</t>
  </si>
  <si>
    <t>RP94+</t>
  </si>
  <si>
    <t>DU-ALMAVIVA-19</t>
  </si>
  <si>
    <t>ALMAVIVA 2019</t>
  </si>
  <si>
    <t>RP95/JA97</t>
  </si>
  <si>
    <t>MG-ALMAVIVA-19</t>
  </si>
  <si>
    <t>JA-ALMAVIVA-19</t>
  </si>
  <si>
    <t>MD-ALMAVIVA-19</t>
  </si>
  <si>
    <t>JA-ALMAVIVA-20</t>
  </si>
  <si>
    <t xml:space="preserve">ALMAVIVA  2020                                                            </t>
  </si>
  <si>
    <t>智利王-6入木箱</t>
  </si>
  <si>
    <t>RP96/JS98/WS95</t>
  </si>
  <si>
    <t>DU-ALMAVIVA-20</t>
  </si>
  <si>
    <t xml:space="preserve">ALMAVIVA 2020                                                        </t>
  </si>
  <si>
    <t>MD-ALMAVIVA-20</t>
  </si>
  <si>
    <r>
      <rPr>
        <rFont val="PMingLiu"/>
        <b/>
        <color theme="1"/>
        <sz val="11.0"/>
      </rPr>
      <t xml:space="preserve">ALMAVIVA 2020
</t>
    </r>
  </si>
  <si>
    <r>
      <rPr>
        <rFont val="PMingLiu"/>
        <b/>
        <color rgb="FF000000"/>
        <sz val="11.0"/>
      </rPr>
      <t>智利王 (阿瑪維瓦)-6入木箱</t>
    </r>
    <r>
      <rPr>
        <rFont val="新細明體"/>
        <b/>
        <color rgb="FFFF0000"/>
        <sz val="11.0"/>
      </rPr>
      <t>(2</t>
    </r>
    <r>
      <rPr>
        <rFont val="新細明體"/>
        <b/>
        <color rgb="FFFF0000"/>
        <sz val="11.0"/>
      </rPr>
      <t>5週年紀念)</t>
    </r>
  </si>
  <si>
    <t>MG-ALMAVIVA-20</t>
  </si>
  <si>
    <r>
      <rPr>
        <rFont val="PMingLiu"/>
        <b/>
        <color theme="1"/>
        <sz val="11.0"/>
      </rPr>
      <t xml:space="preserve">ALMAVIVA 2020
</t>
    </r>
  </si>
  <si>
    <r>
      <rPr>
        <rFont val="PMingLiu"/>
        <b/>
        <color rgb="FF000000"/>
        <sz val="11.0"/>
      </rPr>
      <t>智利王 (阿瑪維瓦)-6入木箱</t>
    </r>
    <r>
      <rPr>
        <rFont val="新細明體"/>
        <b/>
        <color rgb="FFFF0000"/>
        <sz val="11.0"/>
      </rPr>
      <t>(2</t>
    </r>
    <r>
      <rPr>
        <rFont val="新細明體"/>
        <b/>
        <color rgb="FFFF0000"/>
        <sz val="11.0"/>
      </rPr>
      <t>5週年紀念)</t>
    </r>
  </si>
  <si>
    <t>JA-ALMAVIVA-21</t>
  </si>
  <si>
    <r>
      <rPr>
        <rFont val="PMingLiu"/>
        <b/>
        <color theme="1"/>
        <sz val="11.0"/>
      </rPr>
      <t xml:space="preserve">ALMAVIVA 2021                                                      </t>
    </r>
  </si>
  <si>
    <t>RP96+/JS98/WS96</t>
  </si>
  <si>
    <t>MG-ALMAVIVA-21</t>
  </si>
  <si>
    <t xml:space="preserve">ALMAVIVA 2021                                                                            </t>
  </si>
  <si>
    <t>MD-ALMAVIVA-20S</t>
  </si>
  <si>
    <t>EPU 2020</t>
  </si>
  <si>
    <t>智利王副牌-6入木箱</t>
  </si>
  <si>
    <t>MG-ALMAVIVA-21S</t>
  </si>
  <si>
    <t xml:space="preserve">EPU 2021                                                                    </t>
  </si>
  <si>
    <t>RP94+/JS94/WS92</t>
  </si>
  <si>
    <t>MG-SENA-09</t>
  </si>
  <si>
    <t xml:space="preserve">SENA 2009          </t>
  </si>
  <si>
    <t>SENA智利酒王-6入木箱</t>
  </si>
  <si>
    <t>RP92/JA95</t>
  </si>
  <si>
    <t xml:space="preserve">DI-SENA-14 </t>
  </si>
  <si>
    <t xml:space="preserve">SENA 2014 </t>
  </si>
  <si>
    <t xml:space="preserve">SENA智利酒王-6入木箱 </t>
  </si>
  <si>
    <t>JA-SENA-15</t>
  </si>
  <si>
    <t>SENA 2015</t>
  </si>
  <si>
    <t>JS100/2017百大第三</t>
  </si>
  <si>
    <t>MG-SENA-17</t>
  </si>
  <si>
    <t>SENA 2017</t>
  </si>
  <si>
    <t>DI-SENA-17</t>
  </si>
  <si>
    <t>JA-SENA-18</t>
  </si>
  <si>
    <t>SENA 2018</t>
  </si>
  <si>
    <t>RP98 /JS100</t>
  </si>
  <si>
    <t>MG-SENA-18</t>
  </si>
  <si>
    <t>MD-SENA-18</t>
  </si>
  <si>
    <t>MG-SENA-19</t>
  </si>
  <si>
    <t>SENA 2019</t>
  </si>
  <si>
    <r>
      <rPr>
        <rFont val="PMingLiu"/>
        <b/>
        <color theme="1"/>
        <sz val="11.0"/>
      </rPr>
      <t>SENA智利酒王-6入木箱</t>
    </r>
    <r>
      <rPr>
        <rFont val="新細明體"/>
        <b/>
        <color rgb="FFFF0000"/>
        <sz val="11.0"/>
      </rPr>
      <t>(</t>
    </r>
    <r>
      <rPr>
        <rFont val="新細明體"/>
        <b/>
        <color rgb="FFFF0000"/>
        <sz val="11.0"/>
      </rPr>
      <t>25週年紀念)</t>
    </r>
  </si>
  <si>
    <t>MD-SENA-19</t>
  </si>
  <si>
    <r>
      <rPr>
        <rFont val="PMingLiu"/>
        <b/>
        <color theme="1"/>
        <sz val="11.0"/>
      </rPr>
      <t>SENA智利酒王-6入木箱</t>
    </r>
    <r>
      <rPr>
        <rFont val="新細明體"/>
        <b/>
        <color rgb="FFFF0000"/>
        <sz val="11.0"/>
      </rPr>
      <t>(2</t>
    </r>
    <r>
      <rPr>
        <rFont val="新細明體"/>
        <b/>
        <color rgb="FFFF0000"/>
        <sz val="11.0"/>
      </rPr>
      <t>5週年紀念)</t>
    </r>
  </si>
  <si>
    <t>MD-SENA-20</t>
  </si>
  <si>
    <t>SENA 2020</t>
  </si>
  <si>
    <t>MG-SENA-20</t>
  </si>
  <si>
    <t>MG-SENA-21</t>
  </si>
  <si>
    <t xml:space="preserve">SENA 2021                                                      </t>
  </si>
  <si>
    <t>RP98+/JS100</t>
  </si>
  <si>
    <t>MD-SENA-20S</t>
  </si>
  <si>
    <t>ROCAS DE SENA 2020</t>
  </si>
  <si>
    <t>SENA智利酒王副牌-6入木箱</t>
  </si>
  <si>
    <t>MG-SENA-21S</t>
  </si>
  <si>
    <t xml:space="preserve">ROCAS DE SENA 2021                                    </t>
  </si>
  <si>
    <t>*波特酒</t>
  </si>
  <si>
    <t>LV-DVP01-07</t>
  </si>
  <si>
    <t>DOW'S VINTAGE PORT PORTO 2007</t>
  </si>
  <si>
    <t>陶氏波特酒(百大第一名)</t>
  </si>
  <si>
    <t>＊ 澳洲頂級酒</t>
  </si>
  <si>
    <t>JA-BIN169-18</t>
  </si>
  <si>
    <t xml:space="preserve">Penfolds Bin 169 2018                                         </t>
  </si>
  <si>
    <t>奔富169-6入木箱</t>
  </si>
  <si>
    <t>RP96/JA97</t>
  </si>
  <si>
    <t>＊ 波爾多白葡萄酒</t>
  </si>
  <si>
    <t>MD218-19-G1W</t>
  </si>
  <si>
    <t xml:space="preserve">CHATEAU D'YQUEM 2019                                             </t>
  </si>
  <si>
    <t>滴金城堡白葡萄酒-6入木箱</t>
  </si>
  <si>
    <t>JS96</t>
  </si>
  <si>
    <t>MD218-19-G1W-1</t>
  </si>
  <si>
    <r>
      <rPr>
        <rFont val="PMingLiu"/>
        <b/>
        <color rgb="FF000000"/>
        <sz val="11.0"/>
      </rPr>
      <t>CHATEAU D'YQUEM 2019</t>
    </r>
    <r>
      <rPr>
        <rFont val="新細明體"/>
        <b/>
        <color rgb="FFFF0000"/>
        <sz val="11.0"/>
      </rPr>
      <t>(</t>
    </r>
    <r>
      <rPr>
        <rFont val="新細明體"/>
        <b/>
        <color rgb="FFFF0000"/>
        <sz val="11.0"/>
      </rPr>
      <t>375ML)</t>
    </r>
    <r>
      <rPr>
        <rFont val="新細明體"/>
        <b/>
        <color rgb="FF000000"/>
        <sz val="11.0"/>
      </rPr>
      <t xml:space="preserve">                     </t>
    </r>
  </si>
  <si>
    <r>
      <rPr>
        <rFont val="PMingLiu"/>
        <b/>
        <color rgb="FF000000"/>
        <sz val="11.0"/>
      </rPr>
      <t>滴金城堡白葡萄酒-</t>
    </r>
    <r>
      <rPr>
        <rFont val="新細明體"/>
        <b/>
        <color rgb="FFFF0000"/>
        <sz val="11.0"/>
      </rPr>
      <t>3入木盒</t>
    </r>
  </si>
  <si>
    <t>MS075-20-GCCG-W</t>
  </si>
  <si>
    <r>
      <rPr>
        <rFont val="PMingLiu"/>
        <b/>
        <color theme="1"/>
        <sz val="11.0"/>
      </rPr>
      <t xml:space="preserve">CH Smith Haut Lafitte Blanc 2020
</t>
    </r>
  </si>
  <si>
    <r>
      <rPr>
        <rFont val="PMingLiu"/>
        <b/>
        <color rgb="FF000000"/>
        <sz val="11.0"/>
      </rPr>
      <t xml:space="preserve">史密斯拉菲城堡-白 </t>
    </r>
    <r>
      <rPr>
        <rFont val="新細明體"/>
        <b/>
        <color rgb="FFFF0000"/>
        <sz val="11.0"/>
      </rPr>
      <t xml:space="preserve">(紀念金標)(單一木盒) </t>
    </r>
  </si>
  <si>
    <t xml:space="preserve">RP94/JS97         </t>
  </si>
  <si>
    <t>MD079-18-GCCA-S</t>
  </si>
  <si>
    <t xml:space="preserve">LE PETIT CHEVAL BLANC 2018 </t>
  </si>
  <si>
    <r>
      <rPr>
        <rFont val="PMingLiu"/>
        <b/>
        <color rgb="FF000000"/>
        <sz val="11.0"/>
      </rPr>
      <t>白馬堡副牌白葡萄酒-</t>
    </r>
    <r>
      <rPr>
        <rFont val="新細明體"/>
        <b/>
        <color rgb="FFFF0000"/>
        <sz val="11.0"/>
      </rPr>
      <t>3入木盒</t>
    </r>
  </si>
  <si>
    <t>RP92 /JS98 /WS91</t>
  </si>
  <si>
    <t>MD079-19-GCCA-S</t>
  </si>
  <si>
    <t>LE PETIT CHEVAL BLANC 2019</t>
  </si>
  <si>
    <r>
      <rPr>
        <rFont val="PMingLiu"/>
        <b/>
        <color rgb="FF000000"/>
        <sz val="11.0"/>
      </rPr>
      <t>白馬堡副牌白葡萄酒-</t>
    </r>
    <r>
      <rPr>
        <rFont val="新細明體"/>
        <b/>
        <color rgb="FFFF0000"/>
        <sz val="11.0"/>
      </rPr>
      <t>3入木盒</t>
    </r>
  </si>
  <si>
    <t>MD079-20-GCCAS-W</t>
  </si>
  <si>
    <r>
      <rPr>
        <rFont val="PMingLiu"/>
        <b/>
        <color theme="1"/>
        <sz val="11.0"/>
      </rPr>
      <t xml:space="preserve">LE PETIT CHEVAL BLANC 2020
</t>
    </r>
  </si>
  <si>
    <r>
      <rPr>
        <rFont val="PMingLiu"/>
        <b/>
        <color rgb="FF000000"/>
        <sz val="11.0"/>
      </rPr>
      <t>白馬堡副牌白葡萄酒-</t>
    </r>
    <r>
      <rPr>
        <rFont val="新細明體"/>
        <b/>
        <color rgb="FFFF0000"/>
        <sz val="11.0"/>
      </rPr>
      <t>3入木盒</t>
    </r>
  </si>
  <si>
    <t>MD005-20-G1W</t>
  </si>
  <si>
    <t>AILE D'ARGENT  2020</t>
  </si>
  <si>
    <r>
      <rPr>
        <rFont val="PMingLiu"/>
        <b/>
        <color rgb="FF000000"/>
        <sz val="11.0"/>
      </rPr>
      <t xml:space="preserve">木桐城堡白葡萄酒 </t>
    </r>
    <r>
      <rPr>
        <rFont val="新細明體"/>
        <b/>
        <color rgb="FFFF0000"/>
        <sz val="11.0"/>
      </rPr>
      <t>(單一木盒)</t>
    </r>
  </si>
  <si>
    <t>MD005-21-G1W</t>
  </si>
  <si>
    <r>
      <rPr>
        <rFont val="PMingLiu"/>
        <b/>
        <color theme="1"/>
        <sz val="11.0"/>
      </rPr>
      <t xml:space="preserve">AILE D'ARGENT 2021                                            </t>
    </r>
    <r>
      <rPr>
        <rFont val="新細明體"/>
        <b/>
        <color rgb="FFFF0000"/>
        <sz val="11.0"/>
      </rPr>
      <t xml:space="preserve">              </t>
    </r>
  </si>
  <si>
    <r>
      <rPr>
        <rFont val="PMingLiu"/>
        <b/>
        <color theme="1"/>
        <sz val="11.0"/>
      </rPr>
      <t xml:space="preserve">木桐城堡白葡萄酒 </t>
    </r>
    <r>
      <rPr>
        <rFont val="新細明體"/>
        <b/>
        <color rgb="FFFF0000"/>
        <sz val="11.0"/>
      </rPr>
      <t xml:space="preserve">(單一木盒)      </t>
    </r>
  </si>
  <si>
    <t>RP91/JS98</t>
  </si>
  <si>
    <t>MD004-20-G1WS</t>
  </si>
  <si>
    <t xml:space="preserve">CLARTE DE HAUT BRION BLC (LA)2020
</t>
  </si>
  <si>
    <r>
      <rPr>
        <rFont val="PMingLiu"/>
        <b/>
        <color rgb="FF000000"/>
        <sz val="11.0"/>
      </rPr>
      <t>歐布里翁城堡白副-</t>
    </r>
    <r>
      <rPr>
        <rFont val="新細明體"/>
        <b/>
        <color rgb="FFFF0000"/>
        <sz val="11.0"/>
      </rPr>
      <t>3入木盒</t>
    </r>
  </si>
  <si>
    <t>MD004-21-G1WS</t>
  </si>
  <si>
    <t xml:space="preserve">CLARTE DE HAUT BRION BLC (LA) 2021                                            </t>
  </si>
  <si>
    <t>歐布里翁城堡白副-6入木箱</t>
  </si>
  <si>
    <t>MS018-21-G2W</t>
  </si>
  <si>
    <r>
      <rPr>
        <rFont val="PMingLiu"/>
        <b/>
        <color theme="1"/>
        <sz val="11.0"/>
      </rPr>
      <t xml:space="preserve">COS D'ESTOURNEL -Blanc 2021                                  </t>
    </r>
  </si>
  <si>
    <t>高斯城堡白葡萄酒-6入木箱</t>
  </si>
  <si>
    <t>RP93/JS97                   SW90</t>
  </si>
  <si>
    <t>MS018-21-G2SW</t>
  </si>
  <si>
    <t xml:space="preserve">LES PAGODES DE COS BLANC  2021                              </t>
  </si>
  <si>
    <t xml:space="preserve">高斯城堡副牌白葡萄酒-6入木箱         </t>
  </si>
  <si>
    <t>MG022-21-G3W</t>
  </si>
  <si>
    <t xml:space="preserve">LES ARUMS DE LAGRANGE -blanc  221                                             </t>
  </si>
  <si>
    <r>
      <rPr>
        <rFont val="PMingLiu"/>
        <b/>
        <color theme="1"/>
        <sz val="11.0"/>
      </rPr>
      <t xml:space="preserve">拉葛隆吉城堡白葡萄酒 / </t>
    </r>
    <r>
      <rPr>
        <rFont val="新細明體"/>
        <b/>
        <color rgb="FF0070C0"/>
        <sz val="11.0"/>
      </rPr>
      <t>6瓶紙箱</t>
    </r>
    <r>
      <rPr>
        <rFont val="新細明體"/>
        <b/>
        <color rgb="FFFF0000"/>
        <sz val="11.0"/>
      </rPr>
      <t xml:space="preserve">       </t>
    </r>
  </si>
  <si>
    <t>MS216-17-G1WR</t>
  </si>
  <si>
    <t>R de Rieussec 2017</t>
  </si>
  <si>
    <r>
      <rPr>
        <rFont val="PMingLiu"/>
        <b/>
        <color rgb="FF000000"/>
        <sz val="11.0"/>
      </rPr>
      <t xml:space="preserve">拉菲-萊斯之星白葡萄酒 / </t>
    </r>
    <r>
      <rPr>
        <rFont val="新細明體"/>
        <b/>
        <color rgb="FF0070C0"/>
        <sz val="11.0"/>
      </rPr>
      <t>6瓶紙箱</t>
    </r>
  </si>
  <si>
    <t>RP92/WE91</t>
  </si>
  <si>
    <t>SA216-79-G1W</t>
  </si>
  <si>
    <t>CH Rieussec 1979</t>
  </si>
  <si>
    <t>胡賽克城堡貴腐甜白酒-木箱</t>
  </si>
  <si>
    <t>RP84</t>
  </si>
  <si>
    <t>JA217-88-G2W</t>
  </si>
  <si>
    <t>CH Doisy-Vedrines 1988</t>
  </si>
  <si>
    <t>維德里納城堡貴腐甜白酒-木箱</t>
  </si>
  <si>
    <t>WS90/RP91</t>
  </si>
  <si>
    <t>JA217-89-G2W</t>
  </si>
  <si>
    <t>CH Doisy-Vedrines 1989</t>
  </si>
  <si>
    <t>WS91/RP95</t>
  </si>
  <si>
    <t>JA217-90-G2W</t>
  </si>
  <si>
    <t>CH Doisy-Vedrines 1990</t>
  </si>
  <si>
    <t>WS94/RP93</t>
  </si>
  <si>
    <t>＊ 木桐城堡套組</t>
  </si>
  <si>
    <t>SA005-20-G1</t>
  </si>
  <si>
    <t>CH. Mouton Rothschild 2000</t>
  </si>
  <si>
    <t>木桐城堡                             套組</t>
  </si>
  <si>
    <t>97+</t>
  </si>
  <si>
    <t>整套出售</t>
  </si>
  <si>
    <t>SA005-01-G1</t>
  </si>
  <si>
    <t>CH. Mouton Rothschild 2001</t>
  </si>
  <si>
    <t>SA005-02-G1</t>
  </si>
  <si>
    <t>CH. Mouton Rothschild 2002</t>
  </si>
  <si>
    <t>SA005-03-G1</t>
  </si>
  <si>
    <t>CH. Mouton Rothschild 2003</t>
  </si>
  <si>
    <t>95+</t>
  </si>
  <si>
    <t>SA005-04-G1</t>
  </si>
  <si>
    <t>CH. Mouton Rothschild 2004</t>
  </si>
  <si>
    <t>SA005-05-G1</t>
  </si>
  <si>
    <t>CH. Mouton Rothschild 2005</t>
  </si>
  <si>
    <t>SA005-06-G1</t>
  </si>
  <si>
    <t>CH. Mouton Rothschild 2006</t>
  </si>
  <si>
    <t>98+</t>
  </si>
  <si>
    <t>SA005-07-G1</t>
  </si>
  <si>
    <t>CH. Mouton Rothschild 2007</t>
  </si>
  <si>
    <t>FPMT10875(夏朵)</t>
  </si>
  <si>
    <t>CH. Mouton Rothschild 2008</t>
  </si>
  <si>
    <t>SA005-09-G1</t>
  </si>
  <si>
    <t>CH. Mouton Rothschild 2009</t>
  </si>
  <si>
    <t>LV005-10-G1</t>
  </si>
  <si>
    <t>CH. Mouton Rothschild 2010</t>
  </si>
  <si>
    <t>WS98/PR98</t>
  </si>
  <si>
    <t>LV005-11-G1</t>
  </si>
  <si>
    <t>CH. Mouton Rothschild 2011</t>
  </si>
  <si>
    <t>WS95/RP92+</t>
  </si>
  <si>
    <t>2008套裝酒明細表</t>
  </si>
  <si>
    <t>RP</t>
  </si>
  <si>
    <t>SA001-08-G1</t>
  </si>
  <si>
    <t>CH LAFITE ROTHSCHILD  2008</t>
  </si>
  <si>
    <t>拉菲城堡</t>
  </si>
  <si>
    <t>套組出售:                         每組350,000</t>
  </si>
  <si>
    <t>SA002-08-G1</t>
  </si>
  <si>
    <t>CH MARGAUX  2008</t>
  </si>
  <si>
    <t>瑪歌城堡</t>
  </si>
  <si>
    <t>SA003-08-G1</t>
  </si>
  <si>
    <t>CH LATOUR  2008</t>
  </si>
  <si>
    <t>拉圖城堡</t>
  </si>
  <si>
    <t>SA004-08-G1</t>
  </si>
  <si>
    <t>CH HAUT BRION  2008</t>
  </si>
  <si>
    <t>歐布里翁城堡</t>
  </si>
  <si>
    <t>SA005-08-G1</t>
  </si>
  <si>
    <t>CH MOUTON ROTHSCHILD  2008</t>
  </si>
  <si>
    <t>慕東城堡</t>
  </si>
  <si>
    <t>SA006-08-G2</t>
  </si>
  <si>
    <t>CH RAUZAN SEGLA  2008</t>
  </si>
  <si>
    <t>湖珊雪格城堡</t>
  </si>
  <si>
    <t>SA007-08-G2</t>
  </si>
  <si>
    <t>CH RAUZAN GASSIES  2008</t>
  </si>
  <si>
    <t>賀頌加西城堡</t>
  </si>
  <si>
    <t>SA008-08-G2</t>
  </si>
  <si>
    <t>CH LEOVILLE LAS CASES  2008</t>
  </si>
  <si>
    <t>拉斯卡司城堡</t>
  </si>
  <si>
    <t>SA009-08-G2</t>
  </si>
  <si>
    <t>CH LEOVILLE POYFERRE  2008</t>
  </si>
  <si>
    <t>利維爾波荷城堡</t>
  </si>
  <si>
    <t>SA010-08-G2</t>
  </si>
  <si>
    <t>CH LEOVILLE BARTON  2008</t>
  </si>
  <si>
    <t>巴頓城堡</t>
  </si>
  <si>
    <t>SA011-08-G2</t>
  </si>
  <si>
    <t>CH DURFORT VIVENS  2008</t>
  </si>
  <si>
    <t>杜佛薇恩城堡</t>
  </si>
  <si>
    <t>SA012-08-G2</t>
  </si>
  <si>
    <t>CH GRUAUD LAROSE  2008</t>
  </si>
  <si>
    <t>葛霍拉洛斯城堡</t>
  </si>
  <si>
    <t>SA013-08-G2</t>
  </si>
  <si>
    <t>CH LASCOMBES  2008</t>
  </si>
  <si>
    <t>拉斯康伯城堡</t>
  </si>
  <si>
    <t>SA014-08-G2</t>
  </si>
  <si>
    <t>CH BRANE CANTENAC  2008</t>
  </si>
  <si>
    <t>伯納康田城堡</t>
  </si>
  <si>
    <t>SA015-08-G2</t>
  </si>
  <si>
    <t>CH PICHON BARON  2008</t>
  </si>
  <si>
    <t>皮項巴弘城堡</t>
  </si>
  <si>
    <t>SA016-08-G2</t>
  </si>
  <si>
    <t>CH PICHON LALANDE  2008</t>
  </si>
  <si>
    <t>皮項拉隆城堡</t>
  </si>
  <si>
    <t>SA017-08-G2</t>
  </si>
  <si>
    <t>CH DUCRU BEAUCAILLOU  2008</t>
  </si>
  <si>
    <t>杜庫布卡優城堡</t>
  </si>
  <si>
    <t>SA018-08-G2</t>
  </si>
  <si>
    <t>CH COS D'ESTOURNEL  2008</t>
  </si>
  <si>
    <t xml:space="preserve"> 高斯城堡</t>
  </si>
  <si>
    <t>SA019-08-G2</t>
  </si>
  <si>
    <t>CH MONTROSE  2008</t>
  </si>
  <si>
    <t>蒙特羅斯城堡</t>
  </si>
  <si>
    <t>SA020-08-G3</t>
  </si>
  <si>
    <t>CH KIRWAN  2008</t>
  </si>
  <si>
    <t>科萬城堡</t>
  </si>
  <si>
    <t>SA021-08-G3</t>
  </si>
  <si>
    <t>CH D'ISSAN  2008</t>
  </si>
  <si>
    <t>達伊珊城堡</t>
  </si>
  <si>
    <t>SA022-08-G3</t>
  </si>
  <si>
    <t>CH LAGRANGE  2008</t>
  </si>
  <si>
    <t>拉葛隆吉城堡</t>
  </si>
  <si>
    <t>SA023-08-G3</t>
  </si>
  <si>
    <t>CH LANGOA BARTON  2008</t>
  </si>
  <si>
    <t>朗歌巴頓城堡</t>
  </si>
  <si>
    <t>SA024-08-G3</t>
  </si>
  <si>
    <t>CH GISCOURS  2008</t>
  </si>
  <si>
    <t>吉斯可斯城堡</t>
  </si>
  <si>
    <t>SA025-08-G3</t>
  </si>
  <si>
    <t>CH MALESCOT SAINT EXUPERY  2008</t>
  </si>
  <si>
    <t>聖艾修波里城堡</t>
  </si>
  <si>
    <t>SA026-08-G3</t>
  </si>
  <si>
    <t>CH BOYD CANTENAC  2008</t>
  </si>
  <si>
    <t>柏依肯特城堡</t>
  </si>
  <si>
    <t>SA027-08-G3</t>
  </si>
  <si>
    <t>CH CANTENAC BROWN  2008</t>
  </si>
  <si>
    <t>康田布朗城堡</t>
  </si>
  <si>
    <t>SA028-08-G3</t>
  </si>
  <si>
    <t>CH PALMER  2008</t>
  </si>
  <si>
    <t>SA029-08-G3</t>
  </si>
  <si>
    <t>CH LA LAGUNE  2008</t>
  </si>
  <si>
    <t>拉拉岡城堡</t>
  </si>
  <si>
    <t>SA030-08-G3</t>
  </si>
  <si>
    <t>CH DESMIRAIL  2008</t>
  </si>
  <si>
    <t>達斯梅城堡</t>
  </si>
  <si>
    <t>SA031-08-G3</t>
  </si>
  <si>
    <t>CH CALON SEGUR  2008</t>
  </si>
  <si>
    <t>卡隆色古城堡</t>
  </si>
  <si>
    <t>SA032-08-G3</t>
  </si>
  <si>
    <t>CH FERRIERE  2008</t>
  </si>
  <si>
    <t>費里埃城堡</t>
  </si>
  <si>
    <t>SA033-08-G3</t>
  </si>
  <si>
    <t>CH MARQUIS D'ALESME BECKER  2008</t>
  </si>
  <si>
    <t>貝克城堡</t>
  </si>
  <si>
    <t>SA034-08-G4</t>
  </si>
  <si>
    <t>CH SAINT PIERRE  2008</t>
  </si>
  <si>
    <t>聖皮埃爾城堡</t>
  </si>
  <si>
    <t>SA036-08-G4</t>
  </si>
  <si>
    <t>CH TALBOT  2008</t>
  </si>
  <si>
    <t>塔寶城堡</t>
  </si>
  <si>
    <t>SA037-08-G4</t>
  </si>
  <si>
    <t>CH BRANAIRE DUCRU  2008</t>
  </si>
  <si>
    <t>布朗杜庫城堡</t>
  </si>
  <si>
    <t>SA038-08-G4</t>
  </si>
  <si>
    <t>CH DUHART-MILON  2008</t>
  </si>
  <si>
    <t>杜哈米隆城堡</t>
  </si>
  <si>
    <t>SA039-08-G4</t>
  </si>
  <si>
    <t>CH POUGET  2008</t>
  </si>
  <si>
    <t>寶爵城堡</t>
  </si>
  <si>
    <t>SA040-08-G4</t>
  </si>
  <si>
    <t>CH LA TOUR CARNET  2008</t>
  </si>
  <si>
    <t>拉圖卡那城堡</t>
  </si>
  <si>
    <t>SA041-08-G4</t>
  </si>
  <si>
    <t>CH LAFON ROCHET  2008</t>
  </si>
  <si>
    <t>拉封洛其城堡</t>
  </si>
  <si>
    <t>SA042-08-G4</t>
  </si>
  <si>
    <t>CH BEYCHEVELLE  2008</t>
  </si>
  <si>
    <t>貝什韋勒城堡</t>
  </si>
  <si>
    <t>SA043-08-G4</t>
  </si>
  <si>
    <t>CH PRIEURE LICHINE  2008</t>
  </si>
  <si>
    <t>畢爾林其城堡</t>
  </si>
  <si>
    <t>SA044-08-G4</t>
  </si>
  <si>
    <t>CH MARQUIS DE TERME  2008</t>
  </si>
  <si>
    <t>瑪齊堤牡城堡</t>
  </si>
  <si>
    <t>85/87</t>
  </si>
  <si>
    <t>SA045-08-G5</t>
  </si>
  <si>
    <t>CH PONTET CANET  2008</t>
  </si>
  <si>
    <t>朋特卡內城堡</t>
  </si>
  <si>
    <t>SA046-08-G5</t>
  </si>
  <si>
    <t>CH BATAILLEY  2008</t>
  </si>
  <si>
    <t>巴特利城堡</t>
  </si>
  <si>
    <t>SA047-08-G5</t>
  </si>
  <si>
    <t>CH HAUT BATAILLEY  2008</t>
  </si>
  <si>
    <t>歐貝特利城堡</t>
  </si>
  <si>
    <t>SA049-08-G5</t>
  </si>
  <si>
    <t>CH GRAND PUY DUCASSE  2008</t>
  </si>
  <si>
    <t>杜卡斯城堡</t>
  </si>
  <si>
    <t>SA050-08-G5</t>
  </si>
  <si>
    <t>CH LYNCH BAGES  2008</t>
  </si>
  <si>
    <t>林曲貝吉城堡</t>
  </si>
  <si>
    <t>SA051-08-G5</t>
  </si>
  <si>
    <t>CH LYNCH MOUSSAS  2008</t>
  </si>
  <si>
    <t>慕莎城堡</t>
  </si>
  <si>
    <t>SA052-08-G5</t>
  </si>
  <si>
    <t>CH DAUZAC  2008</t>
  </si>
  <si>
    <t>杜薩克城堡</t>
  </si>
  <si>
    <t>SA054-08-G5</t>
  </si>
  <si>
    <t>CH DU TERTRE 2008</t>
  </si>
  <si>
    <t>杜泰爾特城堡</t>
  </si>
  <si>
    <t>SA055-08-G5</t>
  </si>
  <si>
    <t>CH HAUT BAGES LIBERAL  2008</t>
  </si>
  <si>
    <t>歐貝吉立貝城堡</t>
  </si>
  <si>
    <t>SA056-08-G5</t>
  </si>
  <si>
    <t>CH PEDESCLAUX  2008</t>
  </si>
  <si>
    <t>彼德詩歌城堡</t>
  </si>
  <si>
    <t>SA057-08-G5</t>
  </si>
  <si>
    <t>CH BELGRAVE 2008</t>
  </si>
  <si>
    <t>貝爾格雷夫城堡</t>
  </si>
  <si>
    <t>SA058-08-G5</t>
  </si>
  <si>
    <t>CH CAMENSAC  2008</t>
  </si>
  <si>
    <t>卡門沙克城堡</t>
  </si>
  <si>
    <t>SA059-08-G5</t>
  </si>
  <si>
    <t>CH COS LABORY  2008</t>
  </si>
  <si>
    <t>拉博利城堡</t>
  </si>
  <si>
    <t>SA060-08-G5</t>
  </si>
  <si>
    <t>CH CLERC MILON  2008</t>
  </si>
  <si>
    <t>克雷米隆城堡</t>
  </si>
  <si>
    <t>SA061-08-G5</t>
  </si>
  <si>
    <t>CH CROIZET BAGES  2008</t>
  </si>
  <si>
    <t>貝吉城堡</t>
  </si>
  <si>
    <t>SA062-08-G5</t>
  </si>
  <si>
    <t>CH CANTEMERLE  2008</t>
  </si>
  <si>
    <t>康特摩爾城堡</t>
  </si>
  <si>
    <t>SA184-08-G5</t>
  </si>
  <si>
    <t>CH D'ARMAILHAC  2008</t>
  </si>
  <si>
    <t>達瑪雅克城堡</t>
  </si>
  <si>
    <t>CH GRAND PUY LACOSTE  2008</t>
  </si>
  <si>
    <t>拉寇斯特城堡</t>
  </si>
  <si>
    <t>SA001-12-G1</t>
  </si>
  <si>
    <r>
      <rPr>
        <rFont val="PMingLiu"/>
        <b/>
        <color theme="1"/>
        <sz val="11.0"/>
      </rPr>
      <t xml:space="preserve">CH Lafite Rothschild 2012                                 </t>
    </r>
  </si>
  <si>
    <t>拉菲城堡-木箱</t>
  </si>
  <si>
    <t>WE96     WS94</t>
  </si>
  <si>
    <t>GH002-11-G1</t>
  </si>
  <si>
    <t>CH. Margaux 2011</t>
  </si>
  <si>
    <t>SA002-12-G1</t>
  </si>
  <si>
    <t xml:space="preserve">CH MARGAUX  2012                                          </t>
  </si>
  <si>
    <t xml:space="preserve"> 瑪歌城堡-木箱</t>
  </si>
  <si>
    <t>WE95/RP95</t>
  </si>
  <si>
    <t>FR005-04-G1</t>
  </si>
  <si>
    <t>木桐城堡</t>
  </si>
  <si>
    <t>GH005-04-G1</t>
  </si>
  <si>
    <t>LV005-06-G1</t>
  </si>
  <si>
    <t>SA005-12-G1</t>
  </si>
  <si>
    <t xml:space="preserve">CH. Mouton Rothschild 2012                           </t>
  </si>
  <si>
    <t>WE97/RP94</t>
  </si>
  <si>
    <t>LV006-09-G2</t>
  </si>
  <si>
    <t>CH. Rauzan Segla 2009</t>
  </si>
  <si>
    <t>湖珊雪格城堡-木箱</t>
  </si>
  <si>
    <t>RP93+/WS93</t>
  </si>
  <si>
    <t>SA009-07-G2</t>
  </si>
  <si>
    <t>CH LEOVILLE POYFERRE 2007</t>
  </si>
  <si>
    <t>利維爾波荷城堡-木箱</t>
  </si>
  <si>
    <t xml:space="preserve"> LV014-13-G2 </t>
  </si>
  <si>
    <t xml:space="preserve"> CH BRANE CANTENAC 2013 </t>
  </si>
  <si>
    <t xml:space="preserve"> 伯納康田城堡 </t>
  </si>
  <si>
    <t>SA022-05-G3</t>
  </si>
  <si>
    <t>Ch.Lagrange 2005</t>
  </si>
  <si>
    <t>GH031-11-G3</t>
  </si>
  <si>
    <t>CH. Calon Segur2011</t>
  </si>
  <si>
    <t>卡隆色古城堡-木箱</t>
  </si>
  <si>
    <t>SA031-12-G3</t>
  </si>
  <si>
    <r>
      <rPr>
        <rFont val="PMingLiu"/>
        <b/>
        <color theme="1"/>
        <sz val="11.0"/>
      </rPr>
      <t xml:space="preserve">CH CALON SEGUR  2012                               </t>
    </r>
  </si>
  <si>
    <t>WE96/WS93</t>
  </si>
  <si>
    <t>FR045-97-G5</t>
  </si>
  <si>
    <t>CH Pontet Canet 1997</t>
  </si>
  <si>
    <t>SA061-03-G5</t>
  </si>
  <si>
    <t>Ch. Croizet Bages 2003</t>
  </si>
  <si>
    <t>Ch. Croizet Bages 2008</t>
  </si>
  <si>
    <t xml:space="preserve"> LV184-13-G5 </t>
  </si>
  <si>
    <t xml:space="preserve"> CH D'ARMAILHAC 2013 </t>
  </si>
  <si>
    <t xml:space="preserve"> 達瑪雅克城堡2013 </t>
  </si>
  <si>
    <t>SA009-08-G2S</t>
  </si>
  <si>
    <t>PAVILLON DE LEOVILLE POYFERRE 2008</t>
  </si>
  <si>
    <t>利維爾波荷城堡副牌-紙箱</t>
  </si>
  <si>
    <t>SA012-13-G2S</t>
  </si>
  <si>
    <t>SARGET DE GRUAUD LAROSE 2013</t>
  </si>
  <si>
    <t>葛霍拉洛斯城堡副牌</t>
  </si>
  <si>
    <t>JA017-11-G2S</t>
  </si>
  <si>
    <t>CROIX DE BEAUCAILLOU 2011</t>
  </si>
  <si>
    <t>杜庫布卡優城堡副牌-木箱</t>
  </si>
  <si>
    <t>WS90/RP92</t>
  </si>
  <si>
    <t>JA018-07-G2S</t>
  </si>
  <si>
    <t>LES PAGODES DE COS 2007</t>
  </si>
  <si>
    <t>高斯城堡副牌-木箱</t>
  </si>
  <si>
    <t>WS82</t>
  </si>
  <si>
    <t xml:space="preserve"> JA024-14-G3S </t>
  </si>
  <si>
    <t xml:space="preserve"> LA SIRENE DE GISCOURS 2014 </t>
  </si>
  <si>
    <t xml:space="preserve"> 吉斯可斯城堡 副牌 </t>
  </si>
  <si>
    <t>JS91</t>
  </si>
  <si>
    <t>MS037-12-G3S-K</t>
  </si>
  <si>
    <t>K de Kirwan 2012</t>
  </si>
  <si>
    <t>奇旺國王紅葡萄酒-木箱</t>
  </si>
  <si>
    <t xml:space="preserve"> SA005-14-G1W </t>
  </si>
  <si>
    <t xml:space="preserve"> AILE D'ARGENT 2014 </t>
  </si>
  <si>
    <t xml:space="preserve"> 木桐城堡白葡萄酒 </t>
  </si>
  <si>
    <t>JA217-85-G2W</t>
  </si>
  <si>
    <t>CH Doisy-Vedrines 1985</t>
  </si>
  <si>
    <t xml:space="preserve"> LD-OPUS ONE-13 </t>
  </si>
  <si>
    <t xml:space="preserve"> OPUS ONE 2013 </t>
  </si>
  <si>
    <t>第一樂章 2013-木箱</t>
  </si>
  <si>
    <t xml:space="preserve">DI223-10-GCCA </t>
  </si>
  <si>
    <t xml:space="preserve"> Chateau Petrus 2010 </t>
  </si>
  <si>
    <t xml:space="preserve"> LV223-10-GCCA </t>
  </si>
  <si>
    <t xml:space="preserve"> JA079-10GCCA </t>
  </si>
  <si>
    <t xml:space="preserve"> CHATEAU CHEVAL BLANC 2010   1.5L </t>
  </si>
  <si>
    <t xml:space="preserve"> 白馬堡 </t>
  </si>
  <si>
    <t>LD219-15-GCC</t>
  </si>
  <si>
    <t>Chateau Grand Corbin 2015</t>
  </si>
  <si>
    <t>大柯賓城堡-木箱</t>
  </si>
  <si>
    <t>JS91/WE93</t>
  </si>
  <si>
    <t>SA218-11-GC</t>
  </si>
  <si>
    <t>LES AILES DE BERLIQUET 2011</t>
  </si>
  <si>
    <t>培利克城堡-木箱</t>
  </si>
  <si>
    <t xml:space="preserve"> JA221-11-GCS </t>
  </si>
  <si>
    <t xml:space="preserve"> FLEUR DE FONPLEGADE 2011 </t>
  </si>
  <si>
    <t xml:space="preserve"> 皇利嘉城堡副牌 </t>
  </si>
  <si>
    <t>Decamter2014銀牌獎</t>
  </si>
  <si>
    <t>JA215-97-G</t>
  </si>
  <si>
    <t>CH Nenin 1997</t>
  </si>
  <si>
    <t>聶能城堡-木箱</t>
  </si>
  <si>
    <t>JA215-99-G</t>
  </si>
  <si>
    <t>CH Nenin 1999</t>
  </si>
  <si>
    <t>WS89/RP88</t>
  </si>
  <si>
    <t>SA004-04-G1</t>
  </si>
  <si>
    <t>CH Haut Brion 2004</t>
  </si>
  <si>
    <t>WS95/RP93</t>
  </si>
  <si>
    <t>JA005-20-G1</t>
  </si>
  <si>
    <t>WS97+/RP100</t>
  </si>
  <si>
    <t>LV005-05-G1</t>
  </si>
  <si>
    <t>WS96/RP98+</t>
  </si>
  <si>
    <t>LV005-07-G1</t>
  </si>
  <si>
    <t>WS92/RP92</t>
  </si>
  <si>
    <t>GH003-11-G1S</t>
  </si>
  <si>
    <t>Les Forts de Latour Pauillac 2011</t>
  </si>
  <si>
    <t>JA010-13-G2</t>
  </si>
  <si>
    <t>CH. Leoville Barton 2013</t>
  </si>
  <si>
    <t>WS91/RP90</t>
  </si>
  <si>
    <t>SA012-06-G2</t>
  </si>
  <si>
    <t>Ch. Gruaud Larose 2006</t>
  </si>
  <si>
    <t>葛霍拉洛斯城堡-木箱</t>
  </si>
  <si>
    <t>WS90/ RP84</t>
  </si>
  <si>
    <t>LV014-11-G2</t>
  </si>
  <si>
    <t xml:space="preserve"> CH BRANE CANTENAC 2011</t>
  </si>
  <si>
    <t>LD014-14-G2</t>
  </si>
  <si>
    <t xml:space="preserve"> CH BRANE CANTENAC 2014 </t>
  </si>
  <si>
    <t xml:space="preserve"> LD014-14-G2S </t>
  </si>
  <si>
    <t xml:space="preserve"> BARON DE BRANE 2014 </t>
  </si>
  <si>
    <t xml:space="preserve"> 伯納康田城堡副牌 </t>
  </si>
  <si>
    <t>JS88</t>
  </si>
  <si>
    <t>JPM018-15-G2S</t>
  </si>
  <si>
    <t>LES PAGODES DE COS 2015</t>
  </si>
  <si>
    <t>RP88/WS88/WE87</t>
  </si>
  <si>
    <t>JA029-98-G3</t>
  </si>
  <si>
    <t>CH La Lagune 1998</t>
  </si>
  <si>
    <t>拉拉岡城堡-木箱</t>
  </si>
  <si>
    <r>
      <rPr>
        <rFont val="PMingLiu"/>
        <b/>
        <color theme="1"/>
        <sz val="11.0"/>
      </rPr>
      <t>CS031-12-G3</t>
    </r>
    <r>
      <rPr>
        <rFont val="新細明體"/>
        <b/>
        <color rgb="FFFF0000"/>
        <sz val="11.0"/>
      </rPr>
      <t>(亞舍)</t>
    </r>
  </si>
  <si>
    <t>CH CALON SEGUR  2012</t>
  </si>
  <si>
    <t>JS93/RP91/WS93/WE96</t>
  </si>
  <si>
    <t xml:space="preserve"> JA022-14-G3S </t>
  </si>
  <si>
    <t xml:space="preserve"> LES FIEFS DE LAGRANGE 2014 </t>
  </si>
  <si>
    <t xml:space="preserve"> 拉葛隆吉城堡副牌 </t>
  </si>
  <si>
    <t xml:space="preserve"> JA031-14-G3S </t>
  </si>
  <si>
    <t xml:space="preserve"> LE MARQUIS DE CALON SEGUR 2014 </t>
  </si>
  <si>
    <t xml:space="preserve"> 卡隆色古城堡副牌 </t>
  </si>
  <si>
    <t>RP87</t>
  </si>
  <si>
    <t xml:space="preserve"> LV184-12-G5 </t>
  </si>
  <si>
    <t xml:space="preserve"> CH D'ARMAILHAC 2012 </t>
  </si>
  <si>
    <t xml:space="preserve"> 達瑪雅克城堡2012 </t>
  </si>
  <si>
    <t>WS89/RP91</t>
  </si>
  <si>
    <t>FR-DE09301-11</t>
  </si>
  <si>
    <t>Vosne Romanée, Domaine d'Eugénie 2011</t>
  </si>
  <si>
    <t xml:space="preserve">馮內-侯瑪內歐熱妮紅酒 </t>
  </si>
  <si>
    <t>FR-DE09302-11</t>
  </si>
  <si>
    <t>Vosne Romanee Clos d'Eugenie, Domaine d'Eugénie 2011</t>
  </si>
  <si>
    <t>馮內-侯瑪內歐熱妮克洛斯紅酒</t>
  </si>
  <si>
    <t>FR-DE09303-08</t>
  </si>
  <si>
    <t>Vosne Les Brûlées, Domaine d'Eugénie 2008</t>
  </si>
  <si>
    <t xml:space="preserve">DI-OPUS ONE-13 </t>
  </si>
  <si>
    <t xml:space="preserve"> LD-OPUS ONE-14</t>
  </si>
  <si>
    <t xml:space="preserve"> OPUS ONE 2014 </t>
  </si>
  <si>
    <t>第一樂章 2014-木箱</t>
  </si>
  <si>
    <t xml:space="preserve"> DI-OPUS ONE-14 </t>
  </si>
  <si>
    <t xml:space="preserve"> DI-OPUS ONE-13S </t>
  </si>
  <si>
    <t xml:space="preserve"> OVERTURE </t>
  </si>
  <si>
    <t xml:space="preserve"> opus one副牌 </t>
  </si>
  <si>
    <t xml:space="preserve"> DI-OPUS ONE-14S</t>
  </si>
  <si>
    <t xml:space="preserve"> LD-OPUS ONE-15</t>
  </si>
  <si>
    <t xml:space="preserve"> OPUS ONE 2015</t>
  </si>
  <si>
    <t>第一樂章 2015-木箱</t>
  </si>
  <si>
    <t>DI005-15-G1W</t>
  </si>
  <si>
    <t xml:space="preserve"> AILE D'ARGENT 2015</t>
  </si>
  <si>
    <t>MS005-16-G1W</t>
  </si>
  <si>
    <t xml:space="preserve"> AILE D'ARGENT 2016</t>
  </si>
  <si>
    <t>JA184-15-G5</t>
  </si>
  <si>
    <t xml:space="preserve"> CH D'ARMAILHAC 2015</t>
  </si>
  <si>
    <r>
      <rPr>
        <rFont val="PMingLiu"/>
        <b/>
        <color rgb="FF000000"/>
        <sz val="11.0"/>
      </rPr>
      <t xml:space="preserve"> 達瑪雅克城堡2015</t>
    </r>
  </si>
  <si>
    <t>JS93/RP92/WS92/WE92</t>
  </si>
  <si>
    <t>JPM084-15-GCCBS</t>
  </si>
  <si>
    <t>Petit-Figeac 2015</t>
  </si>
  <si>
    <t>菲雅克城堡副牌-木箱</t>
  </si>
  <si>
    <t>JS92/RP91/WS91/WE92</t>
  </si>
  <si>
    <t>SA129-12-GCC</t>
  </si>
  <si>
    <t>CH LARMANDE 2012</t>
  </si>
  <si>
    <t>樂滿得城堡-木箱</t>
  </si>
  <si>
    <t>SA218-12-GC</t>
  </si>
  <si>
    <t>LES AILES DE BERLIQUET 2012</t>
  </si>
  <si>
    <t>Chateau Bourgneuf 2015</t>
  </si>
  <si>
    <t>布聶夫城堡-木箱</t>
  </si>
  <si>
    <t>JS95/RP89/WS92/WE91</t>
  </si>
  <si>
    <t>JPM007-15-G2</t>
  </si>
  <si>
    <t>JS95/RP88/WS86/WE94</t>
  </si>
  <si>
    <t>GH008-11-G2</t>
  </si>
  <si>
    <t>Ch Leoville Las Cases 2011</t>
  </si>
  <si>
    <t>WS95/RP93+</t>
  </si>
  <si>
    <t>LD014-13-G2</t>
  </si>
  <si>
    <t xml:space="preserve"> CH BRANE CANTENAC 2013</t>
  </si>
  <si>
    <t>WS88/RP88</t>
  </si>
  <si>
    <t xml:space="preserve"> LD027-14-G3S </t>
  </si>
  <si>
    <t xml:space="preserve"> BRIO DE CANTENAC BROWN 2014 </t>
  </si>
  <si>
    <t xml:space="preserve"> 康田布朗城堡副牌 </t>
  </si>
  <si>
    <t>JA028-08-G3S</t>
  </si>
  <si>
    <t>ALTER EGO DE PALMER 2008</t>
  </si>
  <si>
    <t>帕瑪城堡副牌-木箱</t>
  </si>
  <si>
    <t>JA036-98-G4</t>
  </si>
  <si>
    <t>CH. Talbot 1998</t>
  </si>
  <si>
    <t>塔寶城堡-木箱</t>
  </si>
  <si>
    <t>SA060-91-G5</t>
  </si>
  <si>
    <t>Ch. Clerc Milon 1991</t>
  </si>
  <si>
    <t>SA061-09-G5</t>
  </si>
  <si>
    <t>Ch. Croizet Bages 2009</t>
  </si>
  <si>
    <t xml:space="preserve"> LV184-14-G5 </t>
  </si>
  <si>
    <t xml:space="preserve"> CH D'ARMAILHAC 2014 </t>
  </si>
  <si>
    <t xml:space="preserve"> 達瑪雅克城堡2014 </t>
  </si>
  <si>
    <t>FR-BIN389-10</t>
  </si>
  <si>
    <t>BIN 389, PENFOLDS 2010</t>
  </si>
  <si>
    <t>奔富Bin389      澳洲酒</t>
  </si>
  <si>
    <t xml:space="preserve"> DI-OPUS ONE-15</t>
  </si>
  <si>
    <t xml:space="preserve"> MG-OPUS ONE-15</t>
  </si>
  <si>
    <t>AUS-10431016</t>
  </si>
  <si>
    <t xml:space="preserve"> OPUS ONE 2016</t>
  </si>
  <si>
    <t>第一樂章 2016-木箱</t>
  </si>
  <si>
    <t>11800(宜進)</t>
  </si>
  <si>
    <t xml:space="preserve"> MG-OPUS ONE-15-1</t>
  </si>
  <si>
    <r>
      <rPr>
        <rFont val="PMingLiu"/>
        <b/>
        <color rgb="FF000000"/>
        <sz val="11.0"/>
      </rPr>
      <t xml:space="preserve"> OPUS ONE 2015 </t>
    </r>
    <r>
      <rPr>
        <rFont val="新細明體"/>
        <b/>
        <color rgb="FFFF0000"/>
        <sz val="11.0"/>
      </rPr>
      <t>(375ML)</t>
    </r>
  </si>
  <si>
    <t>JPM405-15-POM</t>
  </si>
  <si>
    <t>Chateau Trotanoy 2015</t>
  </si>
  <si>
    <t>圖丹諾瓦城堡-木箱</t>
  </si>
  <si>
    <t>JS100/RP97/WS96/WE96</t>
  </si>
  <si>
    <t>JA002-03-G1</t>
  </si>
  <si>
    <t>CH. Margaux 2003</t>
  </si>
  <si>
    <t>WS99/RP98</t>
  </si>
  <si>
    <t>DI004-15-G1</t>
  </si>
  <si>
    <t>Ch Haut Brion 2015</t>
  </si>
  <si>
    <t>JS98/RP100/WS98/WE97</t>
  </si>
  <si>
    <t>DI005-15-G1</t>
  </si>
  <si>
    <t>CH. Mouton Rothschild 2015</t>
  </si>
  <si>
    <t>JS99/RP98/WS96/WE98</t>
  </si>
  <si>
    <t>LD013-15-G2</t>
  </si>
  <si>
    <t>CH LASCOMBES 2015</t>
  </si>
  <si>
    <t>拉斯康柏城堡-木箱</t>
  </si>
  <si>
    <t>JS92/RP94/WS92/WE96</t>
  </si>
  <si>
    <t>LD045-11-G5</t>
  </si>
  <si>
    <t>CH Pontet Canet 2011</t>
  </si>
  <si>
    <t>WS92/RP93</t>
  </si>
  <si>
    <t>SV-SOLAIA-15</t>
  </si>
  <si>
    <t>索拉亞紅葡萄酒-木箱</t>
  </si>
  <si>
    <t>JA005-16-G1W</t>
  </si>
  <si>
    <t>DI087-15-GCCA</t>
  </si>
  <si>
    <t>Chateau Angelus 2015</t>
  </si>
  <si>
    <t>金鐘城堡-6瓶木箱</t>
  </si>
  <si>
    <t>JS99/RP97/WS97/WE97</t>
  </si>
  <si>
    <t>DI089-15-GCCA</t>
  </si>
  <si>
    <t>Chateau Pavie 2015</t>
  </si>
  <si>
    <t>帕維城堡-6瓶木箱</t>
  </si>
  <si>
    <t>JS100/RP98/WS98/WE96</t>
  </si>
  <si>
    <t>DI089-16-GCCA</t>
  </si>
  <si>
    <t>Chateau Pavie 2016</t>
  </si>
  <si>
    <t>JS100/RP100/WE96/WS97</t>
  </si>
  <si>
    <t>JPM084-15-GCCB</t>
  </si>
  <si>
    <t>Chateau Figeac 1er Grand Cru Classe 2015</t>
  </si>
  <si>
    <t>菲雅克城堡- 6瓶木箱</t>
  </si>
  <si>
    <t>JS97/RP97+/WS96/WE98</t>
  </si>
  <si>
    <t>DI065-15-GCCG</t>
  </si>
  <si>
    <t>Chateau La Mission Haut Brion 2015</t>
  </si>
  <si>
    <t>教會歐布里翁城堡-6瓶木箱</t>
  </si>
  <si>
    <t>JS100/RP98/WS96/WE96</t>
  </si>
  <si>
    <t>JPM401-15-POM</t>
  </si>
  <si>
    <t>Chateau L`evangile 2015</t>
  </si>
  <si>
    <t>樂王吉城堡-6木箱</t>
  </si>
  <si>
    <t>JS100/RP97/WS95/WE95</t>
  </si>
  <si>
    <t>JPM403-15-POM</t>
  </si>
  <si>
    <t>Chateau La Fleur-petrus 2015</t>
  </si>
  <si>
    <t>柏翠花城堡6-木箱</t>
  </si>
  <si>
    <t>JS99/RP96/WS95/WE94</t>
  </si>
  <si>
    <t>DI001-15-G1</t>
  </si>
  <si>
    <t>CH Lafite Rothschild 2015</t>
  </si>
  <si>
    <t>拉菲城堡-6木箱</t>
  </si>
  <si>
    <t>JS99/RP96/WS95/WE100</t>
  </si>
  <si>
    <t>GH003-11-G1</t>
  </si>
  <si>
    <t>拉圖城堡-6木箱</t>
  </si>
  <si>
    <t>WS96/RP95</t>
  </si>
  <si>
    <t>DI001-15-G1S</t>
  </si>
  <si>
    <t>Carruades de Lafite Pauillac 2015</t>
  </si>
  <si>
    <t>RP91/WS91/WE94</t>
  </si>
  <si>
    <t>DI002-16-G1S</t>
  </si>
  <si>
    <t>Pavillon Rge du Ch Margaux 2016</t>
  </si>
  <si>
    <t>瑪歌城堡副牌-6木箱</t>
  </si>
  <si>
    <t>JS95/RP93+/WE94/WS93</t>
  </si>
  <si>
    <t>DI005-15-G1S</t>
  </si>
  <si>
    <t>PETIT MOUTON DE MR 2015</t>
  </si>
  <si>
    <t>JS96/RP93/WS91/WE92</t>
  </si>
  <si>
    <t>DI005-16-G1S</t>
  </si>
  <si>
    <t>PETIT MOUTON DE MR 2016</t>
  </si>
  <si>
    <t>JS95/RP93</t>
  </si>
  <si>
    <t>SA006-09-G2</t>
  </si>
  <si>
    <t>RP93+/WS92</t>
  </si>
  <si>
    <t>SA007-14-G2</t>
  </si>
  <si>
    <t>Ch.Rauzan Gassies 2014</t>
  </si>
  <si>
    <t>WS88/RP87</t>
  </si>
  <si>
    <t>JPM008-15-G2</t>
  </si>
  <si>
    <t>Ch Leoville Las Cases 2015</t>
  </si>
  <si>
    <t>JS98/RP98/WS97/WE99</t>
  </si>
  <si>
    <t>JA015-16-G2</t>
  </si>
  <si>
    <t xml:space="preserve">CH PICHON BARON PAUILLAC 2016 </t>
  </si>
  <si>
    <t xml:space="preserve"> 皮項巴弘城堡</t>
  </si>
  <si>
    <t>JS99/RP97</t>
  </si>
  <si>
    <t>杜庫布卡優城堡-木箱</t>
  </si>
  <si>
    <t>RP90/WS89</t>
  </si>
  <si>
    <t>RP94/WS95</t>
  </si>
  <si>
    <t>MD017-05-G2</t>
  </si>
  <si>
    <t>Chteau Ducru Beaucaillou 2005</t>
  </si>
  <si>
    <t>JPM017-15-G2</t>
  </si>
  <si>
    <t>JS97/RP97/WS97/WE97</t>
  </si>
  <si>
    <t>JPM018-15-G2</t>
  </si>
  <si>
    <t>Chateau Cos d`Estournel 2015</t>
  </si>
  <si>
    <t>高斯城堡-木箱</t>
  </si>
  <si>
    <t>JS98/RP95/WS92/WE96</t>
  </si>
  <si>
    <t>MD012-17-G2S</t>
  </si>
  <si>
    <t xml:space="preserve">SARGET DE GRUAUD LAROSE 2017 </t>
  </si>
  <si>
    <t xml:space="preserve">  葛霍拉洛斯城堡副牌</t>
  </si>
  <si>
    <t>JS89/RP89/WS88</t>
  </si>
  <si>
    <t>MD014-15-G2S</t>
  </si>
  <si>
    <t>BARON DE BRANE 2015</t>
  </si>
  <si>
    <t>伯納康田城堡副牌 -12入木箱</t>
  </si>
  <si>
    <t>JS91/RP84/WS90</t>
  </si>
  <si>
    <t>MD022-15-G3</t>
  </si>
  <si>
    <t xml:space="preserve">CHATEAU LAGRANGE 2015 </t>
  </si>
  <si>
    <t>拉葛隆吉城堡-12入木箱</t>
  </si>
  <si>
    <t>JS94/RP96/WS91</t>
  </si>
  <si>
    <t>JPM028-15-G3</t>
  </si>
  <si>
    <t>CH. Palmer 2015  3c</t>
  </si>
  <si>
    <t>JS100/RP98/WS96/WE98</t>
  </si>
  <si>
    <t>MS037-13-G3S-K</t>
  </si>
  <si>
    <t>K de Kirwan 2013</t>
  </si>
  <si>
    <t>MS037-14-G3S-K</t>
  </si>
  <si>
    <t>K de Kirwan 2014</t>
  </si>
  <si>
    <t>JS90/WE91</t>
  </si>
  <si>
    <t>MS037-13-G3S-Q</t>
  </si>
  <si>
    <t>Charmes de Kirwan 2013</t>
  </si>
  <si>
    <t>奇旺女王紅葡萄酒-木箱</t>
  </si>
  <si>
    <t>MS037-15-G3S-Q</t>
  </si>
  <si>
    <t>Charmes de Kirwan 2015</t>
  </si>
  <si>
    <t>MD021-16-G3S4</t>
  </si>
  <si>
    <t xml:space="preserve">MOULIN D'ISSAN 2016  </t>
  </si>
  <si>
    <t xml:space="preserve"> 達伊珊城堡四軍</t>
  </si>
  <si>
    <t>JA028-15-G3S</t>
  </si>
  <si>
    <t>ALTER EGO DE PALMER 2015</t>
  </si>
  <si>
    <t>JS96/RP91/WS92/WE94</t>
  </si>
  <si>
    <t>MD036-16-G4S</t>
  </si>
  <si>
    <t>CONNETABLE DE TALBOT 2016 -12入木箱</t>
  </si>
  <si>
    <t xml:space="preserve"> 塔寶城堡副牌</t>
  </si>
  <si>
    <t>JS92/RP88</t>
  </si>
  <si>
    <t xml:space="preserve"> LD043-14-G4S </t>
  </si>
  <si>
    <t xml:space="preserve"> CONFIDENCES DE PRIEURE LICHINE 2014 </t>
  </si>
  <si>
    <t xml:space="preserve"> 荔仙城堡副牌 </t>
  </si>
  <si>
    <t>Decanter2016銅牌獎</t>
  </si>
  <si>
    <t>SA060-95-G5</t>
  </si>
  <si>
    <t>Ch. Clerc Milon 1995</t>
  </si>
  <si>
    <t>WS94/RP89</t>
  </si>
  <si>
    <t>JA060-15-G5</t>
  </si>
  <si>
    <t>Ch. Clerc Milon 2015</t>
  </si>
  <si>
    <t>JS95/RP93+/WS91/WE95</t>
  </si>
  <si>
    <t>JA060-16-G5</t>
  </si>
  <si>
    <t>Ch. Clerc Milon 2016</t>
  </si>
  <si>
    <t>JS96/RP94/WE94/WS94</t>
  </si>
  <si>
    <t>JA060-17-G5</t>
  </si>
  <si>
    <t>Ch. Clerc Milon 2017</t>
  </si>
  <si>
    <t>JS95/RP94/WE94/WS94</t>
  </si>
  <si>
    <t>JA184-16-G5</t>
  </si>
  <si>
    <t xml:space="preserve">CH D'ARMAILHAC 2016 </t>
  </si>
  <si>
    <t>JS95/RP93/WE90/WS93</t>
  </si>
  <si>
    <t>JA184-17-G5</t>
  </si>
  <si>
    <t>CH D'ARMAILHAC 2017</t>
  </si>
  <si>
    <t>JS94/RP92+/WE92/WS94</t>
  </si>
  <si>
    <t>SA062-12-G5S</t>
  </si>
  <si>
    <t xml:space="preserve">Les. Allees de Cantemerle 2012                               </t>
  </si>
  <si>
    <t xml:space="preserve"> 康特摩爾城堡 副牌</t>
  </si>
  <si>
    <t>JA-BRANDY-EDV</t>
  </si>
  <si>
    <t>Eau-de-Vie de Vie de MOUTON ROTHSCHILD 2014</t>
  </si>
  <si>
    <t>木桐城堡白蘭地烈酒-木箱</t>
  </si>
  <si>
    <t>MG-OP[US ONE-16</t>
  </si>
  <si>
    <t>MG-OPUSONE-16-1</t>
  </si>
  <si>
    <t>OPUS ONE 2016    (  375ml  )</t>
  </si>
  <si>
    <t>第一樂章 2016--12入木箱</t>
  </si>
  <si>
    <t>LV-ALMAVIVA-12</t>
  </si>
  <si>
    <t>Almaviva 2012</t>
  </si>
  <si>
    <t>智利王</t>
  </si>
  <si>
    <t>JA-ALMAVIVA-15</t>
  </si>
  <si>
    <t xml:space="preserve"> ALMAVIVA 2015</t>
  </si>
  <si>
    <t xml:space="preserve"> 智利王 </t>
  </si>
  <si>
    <t>DI004-15-G1WS</t>
  </si>
  <si>
    <t>La Clart de Haut Brion Blanc 2015</t>
  </si>
  <si>
    <t>歐布里翁城堡白葡萄酒副牌-木箱</t>
  </si>
  <si>
    <t>WS93</t>
  </si>
  <si>
    <t>MS005-17-G1W</t>
  </si>
  <si>
    <t>Aile d`Argent (Mouton Blanc) 2017</t>
  </si>
  <si>
    <t>JS98/RP93/WE91/WS92</t>
  </si>
  <si>
    <t>MD027-16-G3W</t>
  </si>
  <si>
    <t>ALTO DE CANTENAC BROWN 2016</t>
  </si>
  <si>
    <t>康田布朗城堡白葡萄酒</t>
  </si>
  <si>
    <t>JS94/WS88</t>
  </si>
  <si>
    <t>MD036-16-G4W</t>
  </si>
  <si>
    <t>CAILLOU BLANC DE CH TALBOT 2016</t>
  </si>
  <si>
    <t>塔寶城堡白葡萄酒</t>
  </si>
  <si>
    <t>AUS-10431015</t>
  </si>
  <si>
    <t>DI-OPUSONE-09-MG</t>
  </si>
  <si>
    <t>OPUS ONE 2009 (1.5L)</t>
  </si>
  <si>
    <t>第一樂章 2009-木箱</t>
  </si>
  <si>
    <t>MG-OPUS ONE-16S</t>
  </si>
  <si>
    <t>MG089-18-GCCA</t>
  </si>
  <si>
    <t>RP99 /JS98/ WS99</t>
  </si>
  <si>
    <t>DI-OPUS ONE-17S</t>
  </si>
  <si>
    <t>DU-OPUS ONE-17S</t>
  </si>
  <si>
    <t>JA-OPUS ONE-17S</t>
  </si>
  <si>
    <t>MG-OPUS ONE-17S</t>
  </si>
  <si>
    <t>DI-OPUS ONE-16</t>
  </si>
  <si>
    <t>MD-OPUS ONE-16</t>
  </si>
  <si>
    <t>DI-OPUS ONE-17</t>
  </si>
  <si>
    <t xml:space="preserve"> OPUS ONE 2017</t>
  </si>
  <si>
    <t>第一樂章 2017-木箱</t>
  </si>
  <si>
    <t>MD-OPUS ONE-17</t>
  </si>
  <si>
    <t>MG-OPUS ONE-17</t>
  </si>
  <si>
    <t>DU-OPUS ONE-17</t>
  </si>
  <si>
    <t>DI-ALMAVIVA-17</t>
  </si>
  <si>
    <t xml:space="preserve"> ALMAVIVA 2017</t>
  </si>
  <si>
    <t xml:space="preserve"> 智利王 (阿瑪維瓦)-木箱</t>
  </si>
  <si>
    <t>MG-ALMAVIVA-17</t>
  </si>
  <si>
    <t>JA-ALMAVIVA-17</t>
  </si>
  <si>
    <t>JA-ALMAVIVA-18</t>
  </si>
  <si>
    <t xml:space="preserve"> ALMAVIVA 2018</t>
  </si>
  <si>
    <t>RP96 /JS98 /WS93</t>
  </si>
  <si>
    <t>MD-ALMAVIVA-18</t>
  </si>
  <si>
    <t>JPM402-15-POM</t>
  </si>
  <si>
    <t>Chateau Latour a Pomerol 2015</t>
  </si>
  <si>
    <t>波美侯拉圖城堡-6木箱</t>
  </si>
  <si>
    <t>JS97/RP93/WS93/WE95</t>
  </si>
  <si>
    <t>JPM404-11-POM</t>
  </si>
  <si>
    <t xml:space="preserve">Château BOURGNEUF2011 </t>
  </si>
  <si>
    <t>布聶夫城堡-6木箱</t>
  </si>
  <si>
    <t>RP83 /JS91/ WS90</t>
  </si>
  <si>
    <t>MS079-78-GCCA</t>
  </si>
  <si>
    <t>CH CHEVAL BLANC  1978</t>
  </si>
  <si>
    <t>白馬堡 12瓶木箱</t>
  </si>
  <si>
    <t>MG-LAFITESET</t>
  </si>
  <si>
    <r>
      <rPr>
        <rFont val="PMingLiu"/>
        <b/>
        <color rgb="FF000000"/>
        <sz val="11.0"/>
      </rPr>
      <t>CAISSE PIECE OF LAFITE HISTORY</t>
    </r>
  </si>
  <si>
    <t>拉菲城堡套組  (6瓶)</t>
  </si>
  <si>
    <t>MG-LUNAR SET</t>
  </si>
  <si>
    <r>
      <rPr>
        <rFont val="PMingLiu"/>
        <b/>
        <color rgb="FF000000"/>
        <sz val="11.0"/>
      </rPr>
      <t xml:space="preserve">COFFRET LUNAR NEW YEAR 1STEDITION  NO.78 </t>
    </r>
  </si>
  <si>
    <t>新春套組78號  (6瓶)</t>
  </si>
  <si>
    <t>DI001-16-G1</t>
  </si>
  <si>
    <t>CH Lafite Rothschild 2016</t>
  </si>
  <si>
    <t>JS100/RP99/WE99/WS98</t>
  </si>
  <si>
    <t>MD001-18-G1</t>
  </si>
  <si>
    <t>CH LAFITE ROTHSCHILD 2018</t>
  </si>
  <si>
    <r>
      <rPr>
        <rFont val="PMingLiu"/>
        <b/>
        <color rgb="FF000000"/>
        <sz val="11.0"/>
      </rPr>
      <t>拉菲城堡 -</t>
    </r>
    <r>
      <rPr>
        <rFont val="新細明體"/>
        <b/>
        <color rgb="FFFF0000"/>
        <sz val="11.0"/>
      </rPr>
      <t>1木箱</t>
    </r>
  </si>
  <si>
    <t>RP100 /JS99 /WS97</t>
  </si>
  <si>
    <t>MG001-18-G1</t>
  </si>
  <si>
    <t>CH Lafite Rothschild 2018</t>
  </si>
  <si>
    <t>拉菲城堡 -6木箱</t>
  </si>
  <si>
    <t>MS002-18-G1</t>
  </si>
  <si>
    <t xml:space="preserve"> 瑪歌城堡-6木箱</t>
  </si>
  <si>
    <t>RP100 /JS100 /WS98</t>
  </si>
  <si>
    <t>MD003-13-G1</t>
  </si>
  <si>
    <t>CHATEAU LATOUR 2013</t>
  </si>
  <si>
    <t>RP93 /JS95</t>
  </si>
  <si>
    <t>MD004-18-G1</t>
  </si>
  <si>
    <t>CH HAUT BRION  2018</t>
  </si>
  <si>
    <r>
      <rPr>
        <rFont val="PMingLiu"/>
        <b/>
        <color rgb="FF000000"/>
        <sz val="11.0"/>
      </rPr>
      <t xml:space="preserve">歐布里翁城堡 </t>
    </r>
    <r>
      <rPr>
        <rFont val="新細明體"/>
        <b/>
        <color rgb="FFFF0000"/>
        <sz val="11.0"/>
      </rPr>
      <t>1瓶木箱</t>
    </r>
  </si>
  <si>
    <t>RP100 /JS99 /WS98</t>
  </si>
  <si>
    <t>MS004-18-G1</t>
  </si>
  <si>
    <t>CH HAUT BRION 2018</t>
  </si>
  <si>
    <t>歐布里翁城堡 6瓶木箱</t>
  </si>
  <si>
    <t>MG004-18-G1</t>
  </si>
  <si>
    <r>
      <rPr>
        <rFont val="PMingLiu"/>
        <b/>
        <color rgb="FF000000"/>
        <sz val="11.0"/>
      </rPr>
      <t xml:space="preserve">歐布里翁城堡 </t>
    </r>
    <r>
      <rPr>
        <rFont val="新細明體"/>
        <b/>
        <color rgb="FFFF0000"/>
        <sz val="11.0"/>
      </rPr>
      <t>3瓶木箱</t>
    </r>
  </si>
  <si>
    <t>MS005-80-G1</t>
  </si>
  <si>
    <t>CH. Mouton Rothschild 1980</t>
  </si>
  <si>
    <t>木桐城堡-6木箱</t>
  </si>
  <si>
    <t>LD005-16-G1</t>
  </si>
  <si>
    <t>JS95/RP100/WE98/WS98</t>
  </si>
  <si>
    <t>MS005-17-G1</t>
  </si>
  <si>
    <t>CH. Mouton Rothschild 2017</t>
  </si>
  <si>
    <t>JS94/RP96+</t>
  </si>
  <si>
    <t>MD005-18-G1</t>
  </si>
  <si>
    <r>
      <rPr>
        <rFont val="PMingLiu"/>
        <b/>
        <color theme="1"/>
        <sz val="11.0"/>
      </rPr>
      <t>木桐城堡-</t>
    </r>
    <r>
      <rPr>
        <rFont val="新細明體"/>
        <b/>
        <color rgb="FFFF0000"/>
        <sz val="11.0"/>
      </rPr>
      <t>1木箱</t>
    </r>
  </si>
  <si>
    <t>DI001-16-G1S</t>
  </si>
  <si>
    <t>Carruades de Lafite Pauillac 2016</t>
  </si>
  <si>
    <t>JS93/RP92</t>
  </si>
  <si>
    <t>MD001-18-G1S</t>
  </si>
  <si>
    <t>Carruades de Lafite Pauillac 2018</t>
  </si>
  <si>
    <t>RP94 /JS97 /WS94</t>
  </si>
  <si>
    <t>JPM008-15-G2S</t>
  </si>
  <si>
    <t>Le Petit Lion du Marquis de Las Cases 2015</t>
  </si>
  <si>
    <t>拉斯卡司城堡副牌-木箱</t>
  </si>
  <si>
    <t>SA031-15-G3</t>
  </si>
  <si>
    <t xml:space="preserve"> CH CALON SEGUR 2015</t>
  </si>
  <si>
    <t xml:space="preserve"> 卡隆色古城堡 </t>
  </si>
  <si>
    <t>JS95/RP93/WS93/WE96</t>
  </si>
  <si>
    <t>SA031-16-G3</t>
  </si>
  <si>
    <t xml:space="preserve"> CH CALON SEGUR 2016</t>
  </si>
  <si>
    <t>JS98/WE96/RP96/WS96</t>
  </si>
  <si>
    <t>MS037-14-G3S-Q</t>
  </si>
  <si>
    <t>Charmes de Kirwan 2014</t>
  </si>
  <si>
    <t>JS90/RP91/WS89/WE91</t>
  </si>
  <si>
    <t>MD021-15-G3S</t>
  </si>
  <si>
    <t xml:space="preserve">BLASON D'ISSAN 2015  </t>
  </si>
  <si>
    <t>達伊珊城堡副牌-12入木箱</t>
  </si>
  <si>
    <t>JS93/RP91</t>
  </si>
  <si>
    <t>MD031-18-G3S3</t>
  </si>
  <si>
    <t xml:space="preserve">SAINT ESTEPHE DE CALON SEGUR2018 </t>
  </si>
  <si>
    <t>卡隆色古城堡三軍</t>
  </si>
  <si>
    <t>SA045-12-G5</t>
  </si>
  <si>
    <r>
      <rPr>
        <rFont val="PMingLiu"/>
        <b/>
        <color theme="1"/>
        <sz val="11.0"/>
      </rPr>
      <t xml:space="preserve">CH PONTET CANET  2012                              </t>
    </r>
  </si>
  <si>
    <t>MD047-14-G5</t>
  </si>
  <si>
    <t>CH. Haut-Batailley2014</t>
  </si>
  <si>
    <t>歐貝特利城堡-12入木箱</t>
  </si>
  <si>
    <t>JS93/RP92/WS91</t>
  </si>
  <si>
    <t>JA050-16-G5</t>
  </si>
  <si>
    <t xml:space="preserve">Ch Lynch Bages 2016  </t>
  </si>
  <si>
    <t>JS97/RP97+/WE95/WS97</t>
  </si>
  <si>
    <t>MD061-15-G5</t>
  </si>
  <si>
    <t xml:space="preserve">CHATEAU CROIZET BAGES 2015 </t>
  </si>
  <si>
    <t>JS92/RP88/WS88</t>
  </si>
  <si>
    <t xml:space="preserve"> LV184-09-G5 </t>
  </si>
  <si>
    <t xml:space="preserve"> CH D'ARMAILHAC 2009</t>
  </si>
  <si>
    <t xml:space="preserve"> 達瑪雅克城堡2009</t>
  </si>
  <si>
    <t>JA184-18-G5</t>
  </si>
  <si>
    <t xml:space="preserve"> CH D'ARMAILHAC 2018</t>
  </si>
  <si>
    <r>
      <rPr>
        <rFont val="PMingLiu"/>
        <b/>
        <color rgb="FF000000"/>
        <sz val="11.0"/>
      </rPr>
      <t xml:space="preserve"> 達瑪雅克城堡</t>
    </r>
  </si>
  <si>
    <t>RP93+ /JS95 /WS93</t>
  </si>
  <si>
    <t>MD047-17-G5S</t>
  </si>
  <si>
    <t>HAUT BATAILLEY VERSO2017</t>
  </si>
  <si>
    <t>歐貝特利城堡副牌</t>
  </si>
  <si>
    <t>FR-BE10601-09</t>
  </si>
  <si>
    <t>Chambolle 1er Cru, Bertheau 2009</t>
  </si>
  <si>
    <t xml:space="preserve">一級香波伯吉奧紅酒 </t>
  </si>
  <si>
    <t>FR-GF22001-09</t>
  </si>
  <si>
    <t>Clos de Vougeot Musigni, Domaine Gros Frère et Soeur 2009</t>
  </si>
  <si>
    <t xml:space="preserve">梧玖園兄妹紅酒 </t>
  </si>
  <si>
    <t>FR-MA09201-08</t>
  </si>
  <si>
    <t>Volnay Les Champans, Domaine Marquis d'Angerville 2008</t>
  </si>
  <si>
    <t xml:space="preserve">渥爾內昂熱維爾伯爵紅酒 </t>
  </si>
  <si>
    <t>DU-OPUS ONE-18</t>
  </si>
  <si>
    <t xml:space="preserve"> OPUS ONE 2018</t>
  </si>
  <si>
    <t>第一樂章 2018-木箱</t>
  </si>
  <si>
    <t>MD-OPUS ONE-16S</t>
  </si>
  <si>
    <t xml:space="preserve"> OVERTURE  RELEASE 2016 </t>
  </si>
  <si>
    <t>MG-SENA-16</t>
  </si>
  <si>
    <t xml:space="preserve"> SENA 2016</t>
  </si>
  <si>
    <t xml:space="preserve"> SENA智利酒王-木箱 </t>
  </si>
  <si>
    <t>MG-LAFITESET-02</t>
  </si>
  <si>
    <t xml:space="preserve">KB PIECE OF LAFITE HISTORY 2    </t>
  </si>
  <si>
    <t>拉菲城堡套組  / 6瓶套組</t>
  </si>
  <si>
    <t>MS002-18-G1S</t>
  </si>
  <si>
    <t>Pavillon Rge du Ch Margaux 2018</t>
  </si>
  <si>
    <t>RP93 /JS95 /WS93</t>
  </si>
  <si>
    <t>MD003-15-G1S</t>
  </si>
  <si>
    <t>Les Forts de Latour Pauillac 2015</t>
  </si>
  <si>
    <t>RP94+ /JS91 /WS91</t>
  </si>
  <si>
    <t>DI004-16-G1S</t>
  </si>
  <si>
    <t>Le Clarence de Haut-Brion 2016</t>
  </si>
  <si>
    <t>歐布里翁城堡副牌-木箱</t>
  </si>
  <si>
    <t>JS94/RP93</t>
  </si>
  <si>
    <t>MD004-18-G1S</t>
  </si>
  <si>
    <t>Le Clarence de Haut-Brion 2018</t>
  </si>
  <si>
    <t>RP92+ /JS97 /WS94</t>
  </si>
  <si>
    <t>SA005-12-G1S</t>
  </si>
  <si>
    <t>PETIT MOUTON DE MR 2012</t>
  </si>
  <si>
    <t>DI007-12-G2</t>
  </si>
  <si>
    <t>Ch.Rauzan Gassies 2012</t>
  </si>
  <si>
    <t>JA014-11-G2</t>
  </si>
  <si>
    <t xml:space="preserve"> 伯納康田城堡 -12入木箱</t>
  </si>
  <si>
    <t>SA014-13-G2</t>
  </si>
  <si>
    <t>MG016-19-G2</t>
  </si>
  <si>
    <r>
      <rPr>
        <rFont val="PMingLiu"/>
        <b/>
        <color rgb="FF000000"/>
        <sz val="11.0"/>
      </rPr>
      <t xml:space="preserve">Chateau Pichon Longueville Comtesse de Lalande 2019    </t>
    </r>
  </si>
  <si>
    <t>皮項拉隆城堡  / 6瓶木箱</t>
  </si>
  <si>
    <t>MD017-95-G2</t>
  </si>
  <si>
    <t>Chteau Ducru Beaucaillou 1995</t>
  </si>
  <si>
    <t>LD022-17-G3</t>
  </si>
  <si>
    <t>CHATEAU LAGRANGE 2017</t>
  </si>
  <si>
    <t>JS93/RP93/WS92</t>
  </si>
  <si>
    <t>MS037-15-G3S-K</t>
  </si>
  <si>
    <t>K de Kirwan 2015</t>
  </si>
  <si>
    <t>JA050-10-G5S</t>
  </si>
  <si>
    <t>ECHO DE LYNCH BAGES 2010</t>
  </si>
  <si>
    <t>林曲貝吉城堡副牌-木箱</t>
  </si>
  <si>
    <t>FR-AL07601-09</t>
  </si>
  <si>
    <t>Nuits St Georges, Domaine Arnoux / Arnoux-Lachaux 2009</t>
  </si>
  <si>
    <t xml:space="preserve">夜-聖喬治阿諾紅酒 </t>
  </si>
  <si>
    <t>JA-OPUS ONE-18S</t>
  </si>
  <si>
    <t>FR-DS-CM-09</t>
  </si>
  <si>
    <t>Dominus, Christian Moueix 2009      USA</t>
  </si>
  <si>
    <t>多明納思克麗絲汀紅酒</t>
  </si>
  <si>
    <t>WS98/RP97</t>
  </si>
  <si>
    <t xml:space="preserve"> DI-ALMAVIVA-14 </t>
  </si>
  <si>
    <t xml:space="preserve"> ALMAVIVA 2014 </t>
  </si>
  <si>
    <t xml:space="preserve"> JA222-14-GCS </t>
  </si>
  <si>
    <t xml:space="preserve"> PRELUDE DE FOMBRAUGE 2014 </t>
  </si>
  <si>
    <t xml:space="preserve"> 好樂吉城堡副牌 </t>
  </si>
  <si>
    <t>MD084-18-GCCBS</t>
  </si>
  <si>
    <t>PETIT FIGEAC 2018</t>
  </si>
  <si>
    <t>菲雅克城堡副牌-6瓶木箱</t>
  </si>
  <si>
    <t>RP91/ JS94</t>
  </si>
  <si>
    <t>大葡園洋酒</t>
  </si>
  <si>
    <t>JPM404-14-POM</t>
  </si>
  <si>
    <t>Château BOURGNEUF 2014</t>
  </si>
  <si>
    <t>布聶夫城堡-12木箱</t>
  </si>
  <si>
    <t>RP89/JS92 WS90</t>
  </si>
  <si>
    <t>MD003-14-G1</t>
  </si>
  <si>
    <t>CHATEAU LATOUR 2014</t>
  </si>
  <si>
    <r>
      <rPr>
        <rFont val="PMingLiu"/>
        <b/>
        <color rgb="FF000000"/>
        <sz val="11.0"/>
      </rPr>
      <t>拉圖城堡-</t>
    </r>
    <r>
      <rPr>
        <rFont val="新細明體"/>
        <b/>
        <color rgb="FFFF0000"/>
        <sz val="11.0"/>
      </rPr>
      <t>1木箱</t>
    </r>
  </si>
  <si>
    <t>RP97+ / JS97</t>
  </si>
  <si>
    <t>LD003-14-G1</t>
  </si>
  <si>
    <r>
      <rPr>
        <rFont val="PMingLiu"/>
        <b/>
        <color rgb="FF000000"/>
        <sz val="11.0"/>
      </rPr>
      <t>拉圖城堡-</t>
    </r>
    <r>
      <rPr>
        <rFont val="新細明體"/>
        <b/>
        <color rgb="FFFF0000"/>
        <sz val="11.0"/>
      </rPr>
      <t>1木箱</t>
    </r>
  </si>
  <si>
    <t>GH001-11-G1S</t>
  </si>
  <si>
    <t>Carruades de Lafite Pauillac 2011</t>
  </si>
  <si>
    <t>JA006-15-G2</t>
  </si>
  <si>
    <t>CH. Rauzan Segla 2015</t>
  </si>
  <si>
    <t>JS97/RP97/WS95/WE96</t>
  </si>
  <si>
    <t>MD014-18-G2</t>
  </si>
  <si>
    <t xml:space="preserve"> CH BRANE CANTENAC 2018</t>
  </si>
  <si>
    <t>RP93+ /JS95</t>
  </si>
  <si>
    <t>MD015-19-G2</t>
  </si>
  <si>
    <r>
      <rPr>
        <rFont val="PMingLiu"/>
        <b/>
        <color rgb="FF000000"/>
        <sz val="11.0"/>
      </rPr>
      <t xml:space="preserve">CH PICHON BARON 2019                          </t>
    </r>
  </si>
  <si>
    <t>皮項巴弘城堡 / 6木箱</t>
  </si>
  <si>
    <t>MD019-20-G2</t>
  </si>
  <si>
    <r>
      <rPr>
        <rFont val="PMingLiu"/>
        <b/>
        <color theme="1"/>
        <sz val="11.0"/>
      </rPr>
      <t xml:space="preserve">CH MONTROSE 2020
</t>
    </r>
  </si>
  <si>
    <t>蒙特羅斯城堡  //單入木盒</t>
  </si>
  <si>
    <t>MD016-19-G2S</t>
  </si>
  <si>
    <t xml:space="preserve">RESERVE DE PICHON COMTESSE 2019                             </t>
  </si>
  <si>
    <t xml:space="preserve"> 皮項拉隆城堡副牌 / 6木箱</t>
  </si>
  <si>
    <t>RP91 /JS93</t>
  </si>
  <si>
    <t>MS037-14-G3</t>
  </si>
  <si>
    <t>CH. Kirwan 2014</t>
  </si>
  <si>
    <t>奇旺城堡-木箱</t>
  </si>
  <si>
    <t>MS037-15-G3</t>
  </si>
  <si>
    <t>CH Kirwan 2015</t>
  </si>
  <si>
    <t>JS93/RP90/WS92/WE96</t>
  </si>
  <si>
    <t>MD031-20-G3</t>
  </si>
  <si>
    <t xml:space="preserve">CH CALON SEGUR 2020
</t>
  </si>
  <si>
    <t>JA031-99-1-G3</t>
  </si>
  <si>
    <r>
      <rPr>
        <rFont val="PMingLiu"/>
        <b/>
        <color theme="1"/>
        <sz val="11.0"/>
      </rPr>
      <t xml:space="preserve">CH. Calon Segur 1999 </t>
    </r>
    <r>
      <rPr>
        <rFont val="新細明體"/>
        <b/>
        <color rgb="FFFF0000"/>
        <sz val="11.0"/>
      </rPr>
      <t>(1.5L)</t>
    </r>
  </si>
  <si>
    <t>WS86/RP87</t>
  </si>
  <si>
    <t>SA031-12-MG-G3</t>
  </si>
  <si>
    <r>
      <rPr>
        <rFont val="PMingLiu"/>
        <b/>
        <color theme="1"/>
        <sz val="11.0"/>
      </rPr>
      <t xml:space="preserve">CH CALON SEGUR  2012 </t>
    </r>
    <r>
      <rPr>
        <rFont val="新細明體"/>
        <b/>
        <color rgb="FFFF0000"/>
        <sz val="11.0"/>
      </rPr>
      <t xml:space="preserve">(1.5L) </t>
    </r>
    <r>
      <rPr>
        <rFont val="新細明體"/>
        <b/>
        <color theme="1"/>
        <sz val="11.0"/>
      </rPr>
      <t xml:space="preserve">                              </t>
    </r>
  </si>
  <si>
    <t xml:space="preserve">卡隆色古城堡-木箱 </t>
  </si>
  <si>
    <t>SA031-13-MG-G3</t>
  </si>
  <si>
    <r>
      <rPr>
        <rFont val="PMingLiu"/>
        <b/>
        <color theme="1"/>
        <sz val="11.0"/>
      </rPr>
      <t xml:space="preserve">CH CALON SEGUR  2013 </t>
    </r>
    <r>
      <rPr>
        <rFont val="新細明體"/>
        <b/>
        <color rgb="FFFF0000"/>
        <sz val="11.0"/>
      </rPr>
      <t xml:space="preserve">(1.5L)   </t>
    </r>
    <r>
      <rPr>
        <rFont val="新細明體"/>
        <b/>
        <color theme="1"/>
        <sz val="11.0"/>
      </rPr>
      <t xml:space="preserve">                        </t>
    </r>
  </si>
  <si>
    <t xml:space="preserve"> 卡隆色古城堡-木箱  </t>
  </si>
  <si>
    <t xml:space="preserve"> SA031-14-MG-G3 </t>
  </si>
  <si>
    <r>
      <rPr>
        <rFont val="PMingLiu"/>
        <b/>
        <color rgb="FF000000"/>
        <sz val="11.0"/>
      </rPr>
      <t xml:space="preserve"> CH CALON SEGUR 2014  ( </t>
    </r>
    <r>
      <rPr>
        <rFont val="新細明體"/>
        <b/>
        <color rgb="FFFF0000"/>
        <sz val="11.0"/>
      </rPr>
      <t xml:space="preserve"> 1.5L</t>
    </r>
    <r>
      <rPr>
        <rFont val="新細明體"/>
        <b/>
        <color rgb="FF000000"/>
        <sz val="11.0"/>
      </rPr>
      <t xml:space="preserve"> ) </t>
    </r>
  </si>
  <si>
    <t>MD027-15-G3S</t>
  </si>
  <si>
    <t>BRIO DE CANTENAC BROWN 2015</t>
  </si>
  <si>
    <t>康田布朗城堡副牌</t>
  </si>
  <si>
    <t>MD038-19-G4</t>
  </si>
  <si>
    <r>
      <rPr>
        <rFont val="PMingLiu"/>
        <b/>
        <color rgb="FF000000"/>
        <sz val="11.0"/>
      </rPr>
      <t xml:space="preserve">CH DUHART MILON 2019                                </t>
    </r>
  </si>
  <si>
    <t>杜哈米隆城堡 / 6木箱</t>
  </si>
  <si>
    <t>SA045-13-G5</t>
  </si>
  <si>
    <r>
      <rPr>
        <rFont val="PMingLiu"/>
        <b/>
        <color theme="1"/>
        <sz val="11.0"/>
      </rPr>
      <t xml:space="preserve">CH PONTET CANET  2013                              </t>
    </r>
  </si>
  <si>
    <t>DI045-15-G5</t>
  </si>
  <si>
    <t xml:space="preserve"> CH PONTET CANET 2015</t>
  </si>
  <si>
    <t xml:space="preserve"> 朋特卡內城堡 </t>
  </si>
  <si>
    <t>JS98/RP96+/WS94/WE97</t>
  </si>
  <si>
    <t>MD060-20-G5</t>
  </si>
  <si>
    <t>Ch. Clerc Milon2020</t>
  </si>
  <si>
    <t>克雷米隆城堡-6木箱</t>
  </si>
  <si>
    <t>MG060-20-G5</t>
  </si>
  <si>
    <t>JA184-19-G5</t>
  </si>
  <si>
    <t xml:space="preserve"> CH D'ARMAILHAC 2019</t>
  </si>
  <si>
    <r>
      <rPr>
        <rFont val="PMingLiu"/>
        <b/>
        <color rgb="FF000000"/>
        <sz val="11.0"/>
      </rPr>
      <t xml:space="preserve"> 達瑪雅克城堡</t>
    </r>
  </si>
  <si>
    <t>RP93 /JS93</t>
  </si>
  <si>
    <t>MD184-19-G5</t>
  </si>
  <si>
    <t xml:space="preserve"> 達瑪雅克城堡-6入木箱</t>
  </si>
  <si>
    <t>MD184-20-G5</t>
  </si>
  <si>
    <t xml:space="preserve"> CH D'ARMAILHAC 2020</t>
  </si>
  <si>
    <t xml:space="preserve"> 達瑪雅克城堡-單入木箱</t>
  </si>
  <si>
    <t>MD047-18-G5S-1</t>
  </si>
  <si>
    <r>
      <rPr>
        <rFont val="PMingLiu"/>
        <b/>
        <color rgb="FF000000"/>
        <sz val="11.0"/>
      </rPr>
      <t>HAUT BATAILLEY VERSO2018</t>
    </r>
    <r>
      <rPr>
        <rFont val="新細明體"/>
        <b/>
        <color rgb="FFFF0000"/>
        <sz val="11.0"/>
      </rPr>
      <t>(375ML)</t>
    </r>
  </si>
  <si>
    <r>
      <rPr>
        <rFont val="PMingLiu"/>
        <b/>
        <color rgb="FF000000"/>
        <sz val="11.0"/>
      </rPr>
      <t>歐貝特利城堡副牌</t>
    </r>
    <r>
      <rPr>
        <rFont val="新細明體"/>
        <b/>
        <color rgb="FFFF0000"/>
        <sz val="11.0"/>
      </rPr>
      <t>(24木箱)</t>
    </r>
  </si>
  <si>
    <t>直銷 800</t>
  </si>
  <si>
    <t xml:space="preserve"> LD191-14-G5S </t>
  </si>
  <si>
    <t xml:space="preserve"> LACOSTE BORIE 2014 </t>
  </si>
  <si>
    <t xml:space="preserve"> 拉寇斯特城堡副牌 </t>
  </si>
  <si>
    <t>GH-VRBE-06</t>
  </si>
  <si>
    <t>Vosne Romanee Aux Brulees</t>
  </si>
  <si>
    <t>歐布利紅酒  (勃根地)</t>
  </si>
  <si>
    <t>放冰櫃</t>
  </si>
  <si>
    <t xml:space="preserve">OPUS ONE 2019
</t>
  </si>
  <si>
    <t>第一樂章 2019-木箱</t>
  </si>
  <si>
    <t>MG-OPUS ONE-19</t>
  </si>
  <si>
    <t>MD-OPUS ONE-17-1</t>
  </si>
  <si>
    <r>
      <rPr>
        <rFont val="PMingLiu"/>
        <b/>
        <color rgb="FF000000"/>
        <sz val="11.0"/>
      </rPr>
      <t xml:space="preserve"> OPUS ONE 2017</t>
    </r>
    <r>
      <rPr>
        <rFont val="新細明體"/>
        <b/>
        <color rgb="FFFF0000"/>
        <sz val="11.0"/>
      </rPr>
      <t>(375ML)</t>
    </r>
  </si>
  <si>
    <t>第一樂章 2017-12木箱</t>
  </si>
  <si>
    <t>MD-OPUS ONE-17S</t>
  </si>
  <si>
    <t>DU-ALMAVIVA-19S</t>
  </si>
  <si>
    <t xml:space="preserve">EPU 2019        </t>
  </si>
  <si>
    <t>智利王副牌   / 6瓶木箱</t>
  </si>
  <si>
    <t>RP93+/JS94</t>
  </si>
  <si>
    <t>JA-ALMAVIVA-19S</t>
  </si>
  <si>
    <t>MG-ALMAVIVA-19S</t>
  </si>
  <si>
    <t>MD-ALMAVIVA-19S</t>
  </si>
  <si>
    <t>MD005-18-G1W</t>
  </si>
  <si>
    <t>AILE D'ARGENT  2018</t>
  </si>
  <si>
    <t>木桐城堡白葡萄酒</t>
  </si>
  <si>
    <t>RP95 /JS94 /WS92</t>
  </si>
  <si>
    <t>JA217-86-G2W</t>
  </si>
  <si>
    <t>CH Doisy-Vedrines 1986</t>
  </si>
  <si>
    <t>JPM223-15-G1W</t>
  </si>
  <si>
    <t>Chateau Guiraud 2015</t>
  </si>
  <si>
    <t>芝路城堡貴腐甜白葡萄酒-木箱</t>
  </si>
  <si>
    <t>LV149-11-GCCB</t>
  </si>
  <si>
    <t>ch Troplong Mondot 2011</t>
  </si>
  <si>
    <t>特洛朗蒙度城堡-木箱</t>
  </si>
  <si>
    <t>WS92/RP95</t>
  </si>
  <si>
    <t>084-18-GCCBS</t>
  </si>
  <si>
    <t>Petit Figeac  2018</t>
  </si>
  <si>
    <t>菲雅克城堡副牌(大葡園)</t>
  </si>
  <si>
    <t>MD225-20-GCCA</t>
  </si>
  <si>
    <t xml:space="preserve">CH LES CARMES HAUT BRION 2020
</t>
  </si>
  <si>
    <t>卡門歐布里翁城堡-6入木箱</t>
  </si>
  <si>
    <t>SA006-16-G2</t>
  </si>
  <si>
    <t>MD006-18-G2</t>
  </si>
  <si>
    <t>CH. Rauzan Segla 2018</t>
  </si>
  <si>
    <t>RP98+ /JS99 /WS96</t>
  </si>
  <si>
    <t>MD006-20-G2</t>
  </si>
  <si>
    <t xml:space="preserve">CH RAUZAN SEGLA 2020
</t>
  </si>
  <si>
    <t>RP98/JS97</t>
  </si>
  <si>
    <t>JA007-10-G2</t>
  </si>
  <si>
    <t>Ch.Rauzan Gassies 2010</t>
  </si>
  <si>
    <t>CH LEOVILLE POYFERRE 2008</t>
  </si>
  <si>
    <t>WS91/RP94</t>
  </si>
  <si>
    <t>MD009-20-G2</t>
  </si>
  <si>
    <t>利維爾波荷城堡--單入木盒</t>
  </si>
  <si>
    <t>MS013-18-G2</t>
  </si>
  <si>
    <t>CH LASCOMBES 2018</t>
  </si>
  <si>
    <t xml:space="preserve"> LV014-14-G2 </t>
  </si>
  <si>
    <t xml:space="preserve">CH BRANE CANTENAC 2014 </t>
  </si>
  <si>
    <t xml:space="preserve">伯納康田城堡 </t>
  </si>
  <si>
    <t>MS020-18-G3</t>
  </si>
  <si>
    <t>CH Kirwan 2018</t>
  </si>
  <si>
    <t>RP92 /JS94 /WS94</t>
  </si>
  <si>
    <t>JPM021-15-G3</t>
  </si>
  <si>
    <t>Chteau d'Issan 2015</t>
  </si>
  <si>
    <t>達伊珊城堡-木箱</t>
  </si>
  <si>
    <t>JS96/RP93/WE94</t>
  </si>
  <si>
    <t>MD021-18-G3</t>
  </si>
  <si>
    <t>Chteau d'Issan 2018</t>
  </si>
  <si>
    <t>RP96/ JS96</t>
  </si>
  <si>
    <t>MG022-21-G3</t>
  </si>
  <si>
    <r>
      <rPr>
        <rFont val="PMingLiu"/>
        <b/>
        <color theme="1"/>
        <sz val="11.0"/>
      </rPr>
      <t xml:space="preserve">CH LAGRANGE 2021                                                      </t>
    </r>
  </si>
  <si>
    <r>
      <rPr>
        <rFont val="PMingLiu"/>
        <b/>
        <color theme="1"/>
        <sz val="11.0"/>
      </rPr>
      <t xml:space="preserve">拉葛隆吉城堡 </t>
    </r>
    <r>
      <rPr>
        <rFont val="新細明體"/>
        <b/>
        <color rgb="FFFF0000"/>
        <sz val="11.0"/>
      </rPr>
      <t>(6瓶紙箱)</t>
    </r>
  </si>
  <si>
    <t>MS020-17-G3S-Q</t>
  </si>
  <si>
    <t>Charmes de Kirwan 2017</t>
  </si>
  <si>
    <t>LD021-20-G3S4</t>
  </si>
  <si>
    <t>MOULIN  D'ISSAN 2020</t>
  </si>
  <si>
    <t>達伊珊城堡四軍-6紙箱</t>
  </si>
  <si>
    <t>MD042-20-G4</t>
  </si>
  <si>
    <t xml:space="preserve">CH BEYCHEVELLE 2020
</t>
  </si>
  <si>
    <t>龍船城堡</t>
  </si>
  <si>
    <t>MD060-19-G5</t>
  </si>
  <si>
    <t>Ch. Clerc Milon2019</t>
  </si>
  <si>
    <t>MS061-18-G5</t>
  </si>
  <si>
    <t>CHATEAU CROIZET BAGES 2016</t>
  </si>
  <si>
    <t>貝吉城堡-6入木箱</t>
  </si>
  <si>
    <t>RP91 /JS91</t>
  </si>
  <si>
    <t>JA184-20-G5</t>
  </si>
  <si>
    <t>MS184-20-G5</t>
  </si>
  <si>
    <t xml:space="preserve">OPUS ONE  2018                                                                </t>
  </si>
  <si>
    <t>第一樂章</t>
  </si>
  <si>
    <t xml:space="preserve">OPUS ONE  2018                                                      </t>
  </si>
  <si>
    <t>第一樂章     ( ps:3/28售南緯 13000x12)</t>
  </si>
  <si>
    <t xml:space="preserve">OPUS ONE  2019                                                                    </t>
  </si>
  <si>
    <t>RP98/JS99                WS94</t>
  </si>
  <si>
    <t>DU-OPUS ONE-18S</t>
  </si>
  <si>
    <t>MD-OPUS ONE-18S</t>
  </si>
  <si>
    <t xml:space="preserve"> opus one副牌 (3/20售聯華5300x24)</t>
  </si>
  <si>
    <t>JA-OPUS ONE-19S</t>
  </si>
  <si>
    <t xml:space="preserve">OVERTURE                                                           </t>
  </si>
  <si>
    <t>第一樂章副牌</t>
  </si>
  <si>
    <t>MG-ALMAVIVA-18</t>
  </si>
  <si>
    <t>MG-ALMAVIVA-20S</t>
  </si>
  <si>
    <t>JA-ALMAVIVA-20S</t>
  </si>
  <si>
    <t xml:space="preserve">EPU  2020                                                               </t>
  </si>
  <si>
    <t>智利王副牌</t>
  </si>
  <si>
    <t>RP94/JS94         WE91</t>
  </si>
  <si>
    <t>DU-ALMAVIVA-20S</t>
  </si>
  <si>
    <t xml:space="preserve">EPU 2020                                                                 </t>
  </si>
  <si>
    <t>MD005-19-G1W</t>
  </si>
  <si>
    <t>AILE D'ARGENT  2019</t>
  </si>
  <si>
    <t>MG001-20-G1</t>
  </si>
  <si>
    <r>
      <rPr>
        <rFont val="PMingLiu"/>
        <b/>
        <color rgb="FF000000"/>
        <sz val="11.0"/>
      </rPr>
      <t>拉菲城堡</t>
    </r>
    <r>
      <rPr>
        <rFont val="新細明體"/>
        <b/>
        <color rgb="FFFF0000"/>
        <sz val="11.0"/>
      </rPr>
      <t>(單一木盒)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</si>
</sst>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_-* #,##0_-;\-* #,##0_-;_-* &quot;-&quot;??_-;_-@"/>
    <numFmt numFmtId="165" formatCode="m/d"/>
    <numFmt numFmtId="166" formatCode="m&quot;月&quot;d&quot;日&quot;"/>
    <numFmt numFmtId="167" formatCode="0.0%"/>
    <numFmt numFmtId="168" formatCode="_-* #,##0.00_-;\-* #,##0.00_-;_-* &quot;-&quot;??_-;_-@"/>
  </numFmts>
  <fonts count="38">
    <font>
      <sz val="10.0"/>
      <color rgb="FF000000"/>
      <name val="Calibri"/>
      <scheme val="minor"/>
    </font>
    <font>
      <b/>
      <sz val="16.0"/>
      <color rgb="FF000000"/>
      <name val="PMingLiu"/>
    </font>
    <font>
      <b/>
      <sz val="11.0"/>
      <color rgb="FF000000"/>
      <name val="PMingLiu"/>
    </font>
    <font>
      <b/>
      <sz val="11.0"/>
      <color rgb="FF0000FF"/>
      <name val="PMingLiu"/>
    </font>
    <font>
      <b/>
      <sz val="11.0"/>
      <color rgb="FFFF0000"/>
      <name val="PMingLiu"/>
    </font>
    <font>
      <sz val="14.0"/>
      <color rgb="FF000000"/>
      <name val="PMingLiu"/>
    </font>
    <font/>
    <font>
      <b/>
      <sz val="11.0"/>
      <color theme="1"/>
      <name val="PMingLiu"/>
    </font>
    <font>
      <sz val="11.0"/>
      <color rgb="FF000000"/>
      <name val="PMingLiu"/>
    </font>
    <font>
      <b/>
      <sz val="16.0"/>
      <color rgb="FFFF00FF"/>
      <name val="PMingLiu"/>
    </font>
    <font>
      <b/>
      <sz val="11.0"/>
      <color rgb="FFFF0066"/>
      <name val="PMingLiu"/>
    </font>
    <font>
      <b/>
      <u/>
      <sz val="11.0"/>
      <color rgb="FF0000FF"/>
      <name val="PMingLiu"/>
    </font>
    <font>
      <u/>
      <sz val="10.0"/>
      <color rgb="FF0000FF"/>
      <name val="PMingLiu"/>
    </font>
    <font>
      <sz val="11.0"/>
      <color theme="1"/>
      <name val="PMingLiu"/>
    </font>
    <font>
      <sz val="12.0"/>
      <color theme="1"/>
      <name val="DFKai-SB"/>
    </font>
    <font>
      <sz val="11.0"/>
      <color theme="1"/>
      <name val="DFKai-SB"/>
    </font>
    <font>
      <sz val="12.0"/>
      <color rgb="FF000000"/>
      <name val="DFKai-SB"/>
    </font>
    <font>
      <sz val="10.0"/>
      <color rgb="FF000000"/>
      <name val="Open Sans"/>
    </font>
    <font>
      <b/>
      <sz val="11.0"/>
      <color rgb="FF000000"/>
      <name val="MingLiu"/>
    </font>
    <font>
      <b/>
      <sz val="10.0"/>
      <color theme="1"/>
      <name val="PMingLiu"/>
    </font>
    <font>
      <sz val="11.0"/>
      <color rgb="FFCC0000"/>
      <name val="PMingLiu"/>
    </font>
    <font>
      <sz val="11.0"/>
      <color rgb="FF000000"/>
      <name val="Arial"/>
    </font>
    <font>
      <b/>
      <sz val="16.0"/>
      <color rgb="FFFF33CC"/>
      <name val="PMingLiu"/>
    </font>
    <font>
      <b/>
      <sz val="11.0"/>
      <color rgb="FF0C0C0C"/>
      <name val="PMingLiu"/>
    </font>
    <font>
      <b/>
      <sz val="11.0"/>
      <color rgb="FF262626"/>
      <name val="PMingLiu"/>
    </font>
    <font>
      <b/>
      <sz val="12.0"/>
      <color rgb="FF000000"/>
      <name val="PMingLiu"/>
    </font>
    <font>
      <b/>
      <sz val="16.0"/>
      <color rgb="FFFF0000"/>
      <name val="PMingLiu"/>
    </font>
    <font>
      <sz val="11.0"/>
      <color rgb="FFFF0000"/>
      <name val="PMingLiu"/>
    </font>
    <font>
      <b/>
      <sz val="11.0"/>
      <color theme="0"/>
      <name val="PMingLiu"/>
    </font>
    <font>
      <sz val="11.0"/>
      <color theme="0"/>
      <name val="PMingLiu"/>
    </font>
    <font>
      <sz val="10.0"/>
      <color rgb="FF000000"/>
      <name val="PMingLiu"/>
    </font>
    <font>
      <sz val="9.0"/>
      <color rgb="FFFF0000"/>
      <name val="PMingLiu"/>
    </font>
    <font>
      <b/>
      <sz val="18.0"/>
      <color rgb="FF000000"/>
      <name val="PMingLiu"/>
    </font>
    <font>
      <b/>
      <sz val="18.0"/>
      <color rgb="FFFF00FF"/>
      <name val="PMingLiu"/>
    </font>
    <font>
      <b/>
      <sz val="18.0"/>
      <color rgb="FFFF33CC"/>
      <name val="PMingLiu"/>
    </font>
    <font>
      <u/>
      <sz val="10.0"/>
      <color rgb="FF0000FF"/>
      <name val="Open Sans"/>
    </font>
    <font>
      <sz val="12.0"/>
      <color theme="1"/>
      <name val="Arial"/>
    </font>
    <font>
      <b/>
      <sz val="18.0"/>
      <color rgb="FFFF0000"/>
      <name val="PMingLiu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548DD4"/>
        <bgColor rgb="FF548DD4"/>
      </patternFill>
    </fill>
    <fill>
      <patternFill patternType="solid">
        <fgColor rgb="FFFFFFFF"/>
        <bgColor rgb="FFFFFFFF"/>
      </patternFill>
    </fill>
    <fill>
      <patternFill patternType="solid">
        <fgColor rgb="FFB6DDE8"/>
        <bgColor rgb="FFB6DDE8"/>
      </patternFill>
    </fill>
    <fill>
      <patternFill patternType="solid">
        <fgColor rgb="FF92D050"/>
        <bgColor rgb="FF92D050"/>
      </patternFill>
    </fill>
  </fills>
  <borders count="10">
    <border/>
    <border>
      <bottom style="double">
        <color rgb="FF000000"/>
      </bottom>
    </border>
    <border>
      <top style="double">
        <color rgb="FF000000"/>
      </top>
      <bottom style="double">
        <color rgb="FF000000"/>
      </bottom>
    </border>
    <border>
      <top style="double">
        <color rgb="FF000000"/>
      </top>
    </border>
    <border>
      <left/>
      <right/>
      <top/>
      <bottom/>
    </border>
    <border>
      <left/>
      <top/>
      <bottom/>
    </border>
    <border>
      <right/>
      <top/>
      <bottom/>
    </border>
    <border>
      <left/>
      <right/>
      <top style="double">
        <color rgb="FF000000"/>
      </top>
    </border>
    <border>
      <left/>
      <right/>
    </border>
    <border>
      <left/>
      <right/>
      <bottom/>
    </border>
  </borders>
  <cellStyleXfs count="1">
    <xf borderId="0" fillId="0" fontId="0" numFmtId="0" applyAlignment="1" applyFont="1"/>
  </cellStyleXfs>
  <cellXfs count="2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right" vertical="center"/>
    </xf>
    <xf borderId="0" fillId="0" fontId="2" numFmtId="0" xfId="0" applyAlignment="1" applyFont="1">
      <alignment horizontal="left" vertical="center"/>
    </xf>
    <xf borderId="0" fillId="0" fontId="3" numFmtId="164" xfId="0" applyAlignment="1" applyFont="1" applyNumberFormat="1">
      <alignment horizontal="right" vertical="center"/>
    </xf>
    <xf borderId="0" fillId="0" fontId="3" numFmtId="0" xfId="0" applyAlignment="1" applyFont="1">
      <alignment horizontal="center" vertical="center"/>
    </xf>
    <xf borderId="0" fillId="0" fontId="4" numFmtId="164" xfId="0" applyAlignment="1" applyFont="1" applyNumberFormat="1">
      <alignment horizontal="right" vertical="center"/>
    </xf>
    <xf borderId="0" fillId="0" fontId="2" numFmtId="164" xfId="0" applyAlignment="1" applyFont="1" applyNumberFormat="1">
      <alignment horizontal="right" vertical="center"/>
    </xf>
    <xf borderId="0" fillId="0" fontId="5" numFmtId="0" xfId="0" applyFont="1"/>
    <xf borderId="1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/>
    </xf>
    <xf borderId="1" fillId="0" fontId="6" numFmtId="0" xfId="0" applyBorder="1" applyFont="1"/>
    <xf borderId="1" fillId="0" fontId="7" numFmtId="164" xfId="0" applyAlignment="1" applyBorder="1" applyFont="1" applyNumberFormat="1">
      <alignment horizontal="right" vertical="center"/>
    </xf>
    <xf borderId="1" fillId="0" fontId="7" numFmtId="164" xfId="0" applyAlignment="1" applyBorder="1" applyFont="1" applyNumberFormat="1">
      <alignment horizontal="center" vertical="center"/>
    </xf>
    <xf borderId="1" fillId="0" fontId="2" numFmtId="164" xfId="0" applyAlignment="1" applyBorder="1" applyFont="1" applyNumberFormat="1">
      <alignment horizontal="center" vertical="center"/>
    </xf>
    <xf borderId="0" fillId="0" fontId="8" numFmtId="0" xfId="0" applyAlignment="1" applyFont="1">
      <alignment horizontal="center"/>
    </xf>
    <xf borderId="2" fillId="0" fontId="9" numFmtId="0" xfId="0" applyAlignment="1" applyBorder="1" applyFont="1">
      <alignment vertical="center"/>
    </xf>
    <xf borderId="2" fillId="0" fontId="6" numFmtId="0" xfId="0" applyBorder="1" applyFont="1"/>
    <xf borderId="1" fillId="0" fontId="2" numFmtId="0" xfId="0" applyAlignment="1" applyBorder="1" applyFont="1">
      <alignment horizontal="right" vertical="center"/>
    </xf>
    <xf borderId="1" fillId="0" fontId="2" numFmtId="0" xfId="0" applyAlignment="1" applyBorder="1" applyFont="1">
      <alignment horizontal="left" vertical="center"/>
    </xf>
    <xf borderId="0" fillId="0" fontId="7" numFmtId="0" xfId="0" applyAlignment="1" applyFont="1">
      <alignment vertical="center"/>
    </xf>
    <xf borderId="0" fillId="0" fontId="4" numFmtId="0" xfId="0" applyAlignment="1" applyFont="1">
      <alignment horizontal="center" shrinkToFit="0" wrapText="1"/>
    </xf>
    <xf borderId="0" fillId="0" fontId="3" numFmtId="165" xfId="0" applyAlignment="1" applyFont="1" applyNumberFormat="1">
      <alignment horizontal="center" vertical="center"/>
    </xf>
    <xf borderId="0" fillId="0" fontId="7" numFmtId="164" xfId="0" applyAlignment="1" applyFont="1" applyNumberFormat="1">
      <alignment horizontal="right" vertical="center"/>
    </xf>
    <xf borderId="0" fillId="0" fontId="8" numFmtId="0" xfId="0" applyFont="1"/>
    <xf borderId="0" fillId="0" fontId="2" numFmtId="0" xfId="0" applyAlignment="1" applyFont="1">
      <alignment vertical="center"/>
    </xf>
    <xf borderId="0" fillId="0" fontId="4" numFmtId="0" xfId="0" applyAlignment="1" applyFont="1">
      <alignment horizontal="center" vertical="center"/>
    </xf>
    <xf borderId="0" fillId="0" fontId="7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0" fillId="0" fontId="7" numFmtId="164" xfId="0" applyAlignment="1" applyFont="1" applyNumberFormat="1">
      <alignment vertical="center"/>
    </xf>
    <xf borderId="0" fillId="0" fontId="2" numFmtId="0" xfId="0" applyAlignment="1" applyFont="1">
      <alignment horizontal="center" vertical="center"/>
    </xf>
    <xf borderId="0" fillId="0" fontId="2" numFmtId="164" xfId="0" applyAlignment="1" applyFont="1" applyNumberFormat="1">
      <alignment vertical="center"/>
    </xf>
    <xf borderId="0" fillId="0" fontId="7" numFmtId="0" xfId="0" applyAlignment="1" applyFont="1">
      <alignment horizontal="left" shrinkToFit="0" vertical="center" wrapText="1"/>
    </xf>
    <xf borderId="0" fillId="0" fontId="2" numFmtId="166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right" shrinkToFit="0" vertical="center" wrapText="1"/>
    </xf>
    <xf borderId="0" fillId="0" fontId="3" numFmtId="3" xfId="0" applyAlignment="1" applyFont="1" applyNumberFormat="1">
      <alignment horizontal="center" vertical="center"/>
    </xf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horizontal="right" shrinkToFit="0" vertical="center" wrapText="1"/>
    </xf>
    <xf borderId="0" fillId="0" fontId="7" numFmtId="49" xfId="0" applyAlignment="1" applyFont="1" applyNumberFormat="1">
      <alignment horizontal="left" vertical="center"/>
    </xf>
    <xf borderId="0" fillId="0" fontId="10" numFmtId="0" xfId="0" applyAlignment="1" applyFont="1">
      <alignment vertical="center"/>
    </xf>
    <xf borderId="0" fillId="0" fontId="4" numFmtId="164" xfId="0" applyAlignment="1" applyFont="1" applyNumberFormat="1">
      <alignment horizontal="center" vertical="center"/>
    </xf>
    <xf borderId="1" fillId="0" fontId="9" numFmtId="0" xfId="0" applyAlignment="1" applyBorder="1" applyFont="1">
      <alignment horizontal="left" vertical="center"/>
    </xf>
    <xf borderId="1" fillId="0" fontId="2" numFmtId="0" xfId="0" applyBorder="1" applyFont="1"/>
    <xf borderId="1" fillId="0" fontId="3" numFmtId="164" xfId="0" applyAlignment="1" applyBorder="1" applyFont="1" applyNumberFormat="1">
      <alignment horizontal="right" vertical="center"/>
    </xf>
    <xf borderId="1" fillId="0" fontId="3" numFmtId="0" xfId="0" applyAlignment="1" applyBorder="1" applyFont="1">
      <alignment horizontal="center" vertical="center"/>
    </xf>
    <xf borderId="1" fillId="0" fontId="7" numFmtId="164" xfId="0" applyAlignment="1" applyBorder="1" applyFont="1" applyNumberFormat="1">
      <alignment vertical="center"/>
    </xf>
    <xf borderId="1" fillId="0" fontId="2" numFmtId="164" xfId="0" applyAlignment="1" applyBorder="1" applyFont="1" applyNumberFormat="1">
      <alignment vertical="center"/>
    </xf>
    <xf borderId="0" fillId="0" fontId="11" numFmtId="0" xfId="0" applyAlignment="1" applyFont="1">
      <alignment vertical="center"/>
    </xf>
    <xf borderId="0" fillId="0" fontId="7" numFmtId="16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0" fillId="0" fontId="7" numFmtId="0" xfId="0" applyFont="1"/>
    <xf borderId="1" fillId="0" fontId="7" numFmtId="0" xfId="0" applyAlignment="1" applyBorder="1" applyFont="1">
      <alignment horizontal="center" vertical="center"/>
    </xf>
    <xf borderId="0" fillId="0" fontId="4" numFmtId="9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12" numFmtId="164" xfId="0" applyAlignment="1" applyFont="1" applyNumberFormat="1">
      <alignment horizontal="right" shrinkToFit="0" vertical="center" wrapText="1"/>
    </xf>
    <xf borderId="0" fillId="0" fontId="7" numFmtId="0" xfId="0" applyAlignment="1" applyFont="1">
      <alignment shrinkToFit="1" vertical="center" wrapText="0"/>
    </xf>
    <xf borderId="0" fillId="0" fontId="2" numFmtId="9" xfId="0" applyAlignment="1" applyFont="1" applyNumberFormat="1">
      <alignment horizontal="center" vertical="center"/>
    </xf>
    <xf borderId="0" fillId="0" fontId="7" numFmtId="0" xfId="0" applyAlignment="1" applyFont="1">
      <alignment horizontal="center" shrinkToFit="0" vertical="center" wrapText="1"/>
    </xf>
    <xf borderId="1" fillId="0" fontId="9" numFmtId="0" xfId="0" applyAlignment="1" applyBorder="1" applyFont="1">
      <alignment vertical="center"/>
    </xf>
    <xf borderId="1" fillId="0" fontId="7" numFmtId="0" xfId="0" applyAlignment="1" applyBorder="1" applyFont="1">
      <alignment horizontal="center"/>
    </xf>
    <xf borderId="1" fillId="0" fontId="7" numFmtId="0" xfId="0" applyAlignment="1" applyBorder="1" applyFont="1">
      <alignment horizontal="right" vertical="center"/>
    </xf>
    <xf borderId="1" fillId="0" fontId="7" numFmtId="0" xfId="0" applyAlignment="1" applyBorder="1" applyFont="1">
      <alignment horizontal="left" vertical="center"/>
    </xf>
    <xf borderId="0" fillId="0" fontId="13" numFmtId="0" xfId="0" applyFont="1"/>
    <xf borderId="0" fillId="0" fontId="14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right" vertical="center"/>
    </xf>
    <xf borderId="0" fillId="0" fontId="7" numFmtId="3" xfId="0" applyAlignment="1" applyFont="1" applyNumberForma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0" fillId="0" fontId="4" numFmtId="3" xfId="0" applyAlignment="1" applyFont="1" applyNumberFormat="1">
      <alignment horizontal="center" vertical="center"/>
    </xf>
    <xf borderId="0" fillId="0" fontId="8" numFmtId="0" xfId="0" applyAlignment="1" applyFont="1">
      <alignment horizontal="right" vertical="center"/>
    </xf>
    <xf borderId="0" fillId="0" fontId="8" numFmtId="0" xfId="0" applyAlignment="1" applyFont="1">
      <alignment horizontal="left" vertical="center"/>
    </xf>
    <xf borderId="0" fillId="0" fontId="15" numFmtId="0" xfId="0" applyAlignment="1" applyFont="1">
      <alignment horizontal="center" shrinkToFit="0" vertical="center" wrapText="1"/>
    </xf>
    <xf borderId="1" fillId="0" fontId="9" numFmtId="0" xfId="0" applyAlignment="1" applyBorder="1" applyFont="1">
      <alignment horizontal="left"/>
    </xf>
    <xf borderId="0" fillId="0" fontId="16" numFmtId="167" xfId="0" applyAlignment="1" applyFont="1" applyNumberFormat="1">
      <alignment horizontal="center" shrinkToFit="0" vertical="center" wrapText="1"/>
    </xf>
    <xf borderId="3" fillId="0" fontId="2" numFmtId="164" xfId="0" applyAlignment="1" applyBorder="1" applyFont="1" applyNumberFormat="1">
      <alignment horizontal="center" shrinkToFit="0" vertical="center" wrapText="1"/>
    </xf>
    <xf borderId="4" fillId="2" fontId="7" numFmtId="0" xfId="0" applyAlignment="1" applyBorder="1" applyFill="1" applyFont="1">
      <alignment vertical="center"/>
    </xf>
    <xf borderId="0" fillId="0" fontId="17" numFmtId="164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/>
    </xf>
    <xf borderId="0" fillId="0" fontId="2" numFmtId="164" xfId="0" applyAlignment="1" applyFont="1" applyNumberFormat="1">
      <alignment horizontal="center" shrinkToFit="0" vertical="center" wrapText="1"/>
    </xf>
    <xf borderId="0" fillId="0" fontId="2" numFmtId="9" xfId="0" applyAlignment="1" applyFont="1" applyNumberFormat="1">
      <alignment horizontal="right" vertical="center"/>
    </xf>
    <xf borderId="0" fillId="0" fontId="7" numFmtId="0" xfId="0" applyAlignment="1" applyFont="1">
      <alignment horizontal="center"/>
    </xf>
    <xf borderId="0" fillId="0" fontId="18" numFmtId="0" xfId="0" applyAlignment="1" applyFont="1">
      <alignment vertical="center"/>
    </xf>
    <xf borderId="0" fillId="0" fontId="2" numFmtId="3" xfId="0" applyAlignment="1" applyFont="1" applyNumberFormat="1">
      <alignment horizontal="center" vertical="center"/>
    </xf>
    <xf borderId="0" fillId="0" fontId="19" numFmtId="164" xfId="0" applyAlignment="1" applyFont="1" applyNumberFormat="1">
      <alignment horizontal="center" shrinkToFit="0" vertical="center" wrapText="1"/>
    </xf>
    <xf borderId="0" fillId="0" fontId="20" numFmtId="0" xfId="0" applyFont="1"/>
    <xf borderId="0" fillId="0" fontId="21" numFmtId="0" xfId="0" applyAlignment="1" applyFont="1">
      <alignment shrinkToFit="0" vertical="center" wrapText="1"/>
    </xf>
    <xf borderId="3" fillId="0" fontId="4" numFmtId="0" xfId="0" applyAlignment="1" applyBorder="1" applyFont="1">
      <alignment horizontal="center" vertical="center"/>
    </xf>
    <xf borderId="4" fillId="2" fontId="4" numFmtId="164" xfId="0" applyAlignment="1" applyBorder="1" applyFont="1" applyNumberFormat="1">
      <alignment horizontal="right" vertical="center"/>
    </xf>
    <xf borderId="0" fillId="0" fontId="3" numFmtId="3" xfId="0" applyAlignment="1" applyFont="1" applyNumberFormat="1">
      <alignment horizontal="center"/>
    </xf>
    <xf borderId="1" fillId="0" fontId="2" numFmtId="0" xfId="0" applyAlignment="1" applyBorder="1" applyFont="1">
      <alignment vertical="center"/>
    </xf>
    <xf borderId="1" fillId="0" fontId="4" numFmtId="164" xfId="0" applyAlignment="1" applyBorder="1" applyFont="1" applyNumberFormat="1">
      <alignment horizontal="right" vertical="center"/>
    </xf>
    <xf borderId="1" fillId="0" fontId="2" numFmtId="164" xfId="0" applyAlignment="1" applyBorder="1" applyFont="1" applyNumberFormat="1">
      <alignment horizontal="right" vertical="center"/>
    </xf>
    <xf borderId="1" fillId="0" fontId="22" numFmtId="0" xfId="0" applyAlignment="1" applyBorder="1" applyFont="1">
      <alignment horizontal="left"/>
    </xf>
    <xf borderId="1" fillId="0" fontId="3" numFmtId="164" xfId="0" applyAlignment="1" applyBorder="1" applyFont="1" applyNumberFormat="1">
      <alignment horizontal="center" vertical="center"/>
    </xf>
    <xf borderId="4" fillId="3" fontId="8" numFmtId="0" xfId="0" applyBorder="1" applyFill="1" applyFont="1"/>
    <xf borderId="4" fillId="2" fontId="4" numFmtId="0" xfId="0" applyAlignment="1" applyBorder="1" applyFont="1">
      <alignment vertical="center"/>
    </xf>
    <xf borderId="1" fillId="0" fontId="15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right" vertical="center"/>
    </xf>
    <xf borderId="0" fillId="0" fontId="4" numFmtId="0" xfId="0" applyAlignment="1" applyFont="1">
      <alignment horizontal="left" vertical="center"/>
    </xf>
    <xf borderId="0" fillId="0" fontId="4" numFmtId="164" xfId="0" applyAlignment="1" applyFont="1" applyNumberFormat="1">
      <alignment shrinkToFit="0" vertical="center" wrapText="1"/>
    </xf>
    <xf borderId="0" fillId="0" fontId="23" numFmtId="0" xfId="0" applyAlignment="1" applyFont="1">
      <alignment vertical="center"/>
    </xf>
    <xf borderId="1" fillId="0" fontId="14" numFmtId="0" xfId="0" applyAlignment="1" applyBorder="1" applyFont="1">
      <alignment horizontal="center" shrinkToFit="0" vertical="center" wrapText="1"/>
    </xf>
    <xf borderId="0" fillId="0" fontId="24" numFmtId="0" xfId="0" applyFont="1"/>
    <xf borderId="0" fillId="0" fontId="9" numFmtId="0" xfId="0" applyAlignment="1" applyFont="1">
      <alignment vertical="center"/>
    </xf>
    <xf borderId="0" fillId="0" fontId="7" numFmtId="168" xfId="0" applyAlignment="1" applyFont="1" applyNumberFormat="1">
      <alignment horizontal="right" vertical="center"/>
    </xf>
    <xf borderId="0" fillId="0" fontId="25" numFmtId="0" xfId="0" applyAlignment="1" applyFont="1">
      <alignment horizontal="center"/>
    </xf>
    <xf borderId="5" fillId="2" fontId="26" numFmtId="0" xfId="0" applyAlignment="1" applyBorder="1" applyFont="1">
      <alignment horizontal="left"/>
    </xf>
    <xf borderId="6" fillId="0" fontId="6" numFmtId="0" xfId="0" applyBorder="1" applyFont="1"/>
    <xf borderId="4" fillId="2" fontId="2" numFmtId="0" xfId="0" applyBorder="1" applyFont="1"/>
    <xf borderId="4" fillId="2" fontId="2" numFmtId="0" xfId="0" applyAlignment="1" applyBorder="1" applyFont="1">
      <alignment horizontal="center"/>
    </xf>
    <xf borderId="4" fillId="2" fontId="2" numFmtId="0" xfId="0" applyAlignment="1" applyBorder="1" applyFont="1">
      <alignment horizontal="right" vertical="center"/>
    </xf>
    <xf borderId="4" fillId="2" fontId="2" numFmtId="0" xfId="0" applyAlignment="1" applyBorder="1" applyFont="1">
      <alignment horizontal="left" vertical="center"/>
    </xf>
    <xf borderId="4" fillId="2" fontId="2" numFmtId="164" xfId="0" applyAlignment="1" applyBorder="1" applyFont="1" applyNumberFormat="1">
      <alignment horizontal="right" vertical="center"/>
    </xf>
    <xf borderId="4" fillId="2" fontId="2" numFmtId="164" xfId="0" applyAlignment="1" applyBorder="1" applyFont="1" applyNumberFormat="1">
      <alignment horizontal="center" vertical="center"/>
    </xf>
    <xf borderId="4" fillId="2" fontId="2" numFmtId="164" xfId="0" applyAlignment="1" applyBorder="1" applyFont="1" applyNumberFormat="1">
      <alignment vertical="center"/>
    </xf>
    <xf borderId="4" fillId="2" fontId="4" numFmtId="0" xfId="0" applyAlignment="1" applyBorder="1" applyFont="1">
      <alignment horizontal="right" vertical="center"/>
    </xf>
    <xf borderId="4" fillId="2" fontId="4" numFmtId="0" xfId="0" applyAlignment="1" applyBorder="1" applyFont="1">
      <alignment horizontal="left" vertical="center"/>
    </xf>
    <xf borderId="4" fillId="2" fontId="4" numFmtId="0" xfId="0" applyAlignment="1" applyBorder="1" applyFont="1">
      <alignment horizontal="center" vertical="center"/>
    </xf>
    <xf borderId="4" fillId="4" fontId="4" numFmtId="0" xfId="0" applyAlignment="1" applyBorder="1" applyFill="1" applyFont="1">
      <alignment horizontal="center"/>
    </xf>
    <xf borderId="4" fillId="4" fontId="2" numFmtId="0" xfId="0" applyBorder="1" applyFont="1"/>
    <xf borderId="4" fillId="4" fontId="2" numFmtId="0" xfId="0" applyAlignment="1" applyBorder="1" applyFont="1">
      <alignment horizontal="center"/>
    </xf>
    <xf borderId="4" fillId="4" fontId="4" numFmtId="0" xfId="0" applyAlignment="1" applyBorder="1" applyFont="1">
      <alignment horizontal="right" vertical="center"/>
    </xf>
    <xf borderId="4" fillId="4" fontId="4" numFmtId="0" xfId="0" applyAlignment="1" applyBorder="1" applyFont="1">
      <alignment horizontal="left" vertical="center"/>
    </xf>
    <xf borderId="4" fillId="4" fontId="4" numFmtId="164" xfId="0" applyAlignment="1" applyBorder="1" applyFont="1" applyNumberFormat="1">
      <alignment horizontal="right" vertical="center"/>
    </xf>
    <xf borderId="4" fillId="4" fontId="4" numFmtId="0" xfId="0" applyAlignment="1" applyBorder="1" applyFont="1">
      <alignment horizontal="center" vertical="center"/>
    </xf>
    <xf borderId="1" fillId="0" fontId="4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vertical="center"/>
    </xf>
    <xf borderId="0" fillId="0" fontId="27" numFmtId="0" xfId="0" applyFont="1"/>
    <xf borderId="4" fillId="5" fontId="28" numFmtId="0" xfId="0" applyBorder="1" applyFill="1" applyFont="1"/>
    <xf borderId="4" fillId="5" fontId="28" numFmtId="0" xfId="0" applyAlignment="1" applyBorder="1" applyFont="1">
      <alignment horizontal="center"/>
    </xf>
    <xf borderId="4" fillId="5" fontId="28" numFmtId="0" xfId="0" applyAlignment="1" applyBorder="1" applyFont="1">
      <alignment horizontal="right" vertical="center"/>
    </xf>
    <xf borderId="4" fillId="5" fontId="28" numFmtId="0" xfId="0" applyAlignment="1" applyBorder="1" applyFont="1">
      <alignment horizontal="left" vertical="center"/>
    </xf>
    <xf borderId="4" fillId="5" fontId="28" numFmtId="164" xfId="0" applyAlignment="1" applyBorder="1" applyFont="1" applyNumberFormat="1">
      <alignment horizontal="right" vertical="center"/>
    </xf>
    <xf borderId="4" fillId="5" fontId="28" numFmtId="0" xfId="0" applyAlignment="1" applyBorder="1" applyFont="1">
      <alignment horizontal="center" vertical="center"/>
    </xf>
    <xf borderId="4" fillId="5" fontId="29" numFmtId="0" xfId="0" applyBorder="1" applyFont="1"/>
    <xf borderId="4" fillId="6" fontId="7" numFmtId="0" xfId="0" applyAlignment="1" applyBorder="1" applyFill="1" applyFont="1">
      <alignment shrinkToFit="0" vertical="center" wrapText="1"/>
    </xf>
    <xf borderId="0" fillId="0" fontId="2" numFmtId="164" xfId="0" applyAlignment="1" applyFont="1" applyNumberFormat="1">
      <alignment shrinkToFit="0" vertical="center" wrapText="1"/>
    </xf>
    <xf borderId="0" fillId="0" fontId="2" numFmtId="0" xfId="0" applyAlignment="1" applyFont="1">
      <alignment horizontal="right" shrinkToFit="0" vertical="center" wrapText="1"/>
    </xf>
    <xf borderId="4" fillId="6" fontId="2" numFmtId="0" xfId="0" applyAlignment="1" applyBorder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Font="1"/>
    <xf quotePrefix="1" borderId="0" fillId="0" fontId="2" numFmtId="0" xfId="0" applyAlignment="1" applyFont="1">
      <alignment shrinkToFit="1" vertical="center" wrapText="0"/>
    </xf>
    <xf borderId="4" fillId="7" fontId="2" numFmtId="164" xfId="0" applyAlignment="1" applyBorder="1" applyFill="1" applyFont="1" applyNumberFormat="1">
      <alignment horizontal="right" vertical="center"/>
    </xf>
    <xf borderId="4" fillId="3" fontId="25" numFmtId="0" xfId="0" applyAlignment="1" applyBorder="1" applyFont="1">
      <alignment shrinkToFit="0" vertical="center" wrapText="1"/>
    </xf>
    <xf borderId="0" fillId="0" fontId="30" numFmtId="0" xfId="0" applyAlignment="1" applyFont="1">
      <alignment shrinkToFit="0" vertical="center" wrapText="1"/>
    </xf>
    <xf borderId="0" fillId="0" fontId="30" numFmtId="0" xfId="0" applyAlignment="1" applyFont="1">
      <alignment vertical="center"/>
    </xf>
    <xf borderId="0" fillId="0" fontId="31" numFmtId="0" xfId="0" applyAlignment="1" applyFont="1">
      <alignment horizontal="center" vertical="center"/>
    </xf>
    <xf borderId="0" fillId="0" fontId="13" numFmtId="164" xfId="0" applyAlignment="1" applyFont="1" applyNumberFormat="1">
      <alignment horizontal="right" vertical="center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right" vertical="center"/>
    </xf>
    <xf borderId="0" fillId="0" fontId="8" numFmtId="164" xfId="0" applyFont="1" applyNumberFormat="1"/>
    <xf borderId="0" fillId="0" fontId="14" numFmtId="164" xfId="0" applyAlignment="1" applyFont="1" applyNumberFormat="1">
      <alignment horizontal="right" vertical="center"/>
    </xf>
    <xf borderId="0" fillId="0" fontId="14" numFmtId="164" xfId="0" applyAlignment="1" applyFont="1" applyNumberFormat="1">
      <alignment horizontal="center" vertical="center"/>
    </xf>
    <xf borderId="4" fillId="2" fontId="7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/>
    </xf>
    <xf borderId="1" fillId="0" fontId="7" numFmtId="164" xfId="0" applyAlignment="1" applyBorder="1" applyFont="1" applyNumberFormat="1">
      <alignment horizontal="left" vertical="center"/>
    </xf>
    <xf borderId="0" fillId="0" fontId="33" numFmtId="0" xfId="0" applyAlignment="1" applyFont="1">
      <alignment horizontal="left" vertical="center"/>
    </xf>
    <xf borderId="1" fillId="0" fontId="33" numFmtId="0" xfId="0" applyAlignment="1" applyBorder="1" applyFont="1">
      <alignment horizontal="left" vertical="center"/>
    </xf>
    <xf borderId="0" fillId="0" fontId="7" numFmtId="0" xfId="0" applyAlignment="1" applyFont="1">
      <alignment horizontal="center" shrinkToFit="1" vertical="center" wrapText="0"/>
    </xf>
    <xf borderId="0" fillId="0" fontId="7" numFmtId="164" xfId="0" applyAlignment="1" applyFont="1" applyNumberFormat="1">
      <alignment horizontal="left" vertical="center"/>
    </xf>
    <xf borderId="0" fillId="0" fontId="7" numFmtId="0" xfId="0" applyAlignment="1" applyFont="1">
      <alignment horizontal="left" shrinkToFit="1" vertical="center" wrapText="0"/>
    </xf>
    <xf borderId="0" fillId="0" fontId="7" numFmtId="0" xfId="0" applyAlignment="1" applyFont="1">
      <alignment horizontal="right" shrinkToFit="0" vertical="center" wrapText="1"/>
    </xf>
    <xf borderId="1" fillId="0" fontId="34" numFmtId="0" xfId="0" applyAlignment="1" applyBorder="1" applyFont="1">
      <alignment horizontal="left" vertical="center"/>
    </xf>
    <xf borderId="0" fillId="0" fontId="35" numFmtId="0" xfId="0" applyFont="1"/>
    <xf borderId="4" fillId="3" fontId="2" numFmtId="0" xfId="0" applyBorder="1" applyFont="1"/>
    <xf borderId="4" fillId="8" fontId="2" numFmtId="0" xfId="0" applyAlignment="1" applyBorder="1" applyFill="1" applyFont="1">
      <alignment vertical="center"/>
    </xf>
    <xf borderId="4" fillId="8" fontId="2" numFmtId="0" xfId="0" applyAlignment="1" applyBorder="1" applyFont="1">
      <alignment horizontal="center" vertical="center"/>
    </xf>
    <xf borderId="4" fillId="8" fontId="7" numFmtId="0" xfId="0" applyAlignment="1" applyBorder="1" applyFont="1">
      <alignment horizontal="right" vertical="center"/>
    </xf>
    <xf borderId="4" fillId="8" fontId="7" numFmtId="0" xfId="0" applyAlignment="1" applyBorder="1" applyFont="1">
      <alignment horizontal="left" vertical="center"/>
    </xf>
    <xf borderId="4" fillId="8" fontId="7" numFmtId="164" xfId="0" applyAlignment="1" applyBorder="1" applyFont="1" applyNumberFormat="1">
      <alignment horizontal="right" vertical="center"/>
    </xf>
    <xf borderId="4" fillId="8" fontId="2" numFmtId="0" xfId="0" applyBorder="1" applyFont="1"/>
    <xf borderId="0" fillId="0" fontId="36" numFmtId="0" xfId="0" applyAlignment="1" applyFont="1">
      <alignment horizontal="right" shrinkToFit="0" vertical="center" wrapText="1"/>
    </xf>
    <xf borderId="0" fillId="0" fontId="36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right"/>
    </xf>
    <xf borderId="4" fillId="8" fontId="7" numFmtId="0" xfId="0" applyAlignment="1" applyBorder="1" applyFont="1">
      <alignment vertical="center"/>
    </xf>
    <xf borderId="4" fillId="8" fontId="7" numFmtId="0" xfId="0" applyAlignment="1" applyBorder="1" applyFont="1">
      <alignment horizontal="center" vertical="center"/>
    </xf>
    <xf borderId="4" fillId="8" fontId="7" numFmtId="0" xfId="0" applyBorder="1" applyFont="1"/>
    <xf borderId="4" fillId="8" fontId="2" numFmtId="0" xfId="0" applyAlignment="1" applyBorder="1" applyFont="1">
      <alignment horizontal="right" vertical="center"/>
    </xf>
    <xf borderId="4" fillId="8" fontId="2" numFmtId="0" xfId="0" applyAlignment="1" applyBorder="1" applyFont="1">
      <alignment horizontal="left" vertical="center"/>
    </xf>
    <xf borderId="0" fillId="0" fontId="2" numFmtId="164" xfId="0" applyFont="1" applyNumberFormat="1"/>
    <xf borderId="4" fillId="8" fontId="7" numFmtId="164" xfId="0" applyAlignment="1" applyBorder="1" applyFont="1" applyNumberFormat="1">
      <alignment horizontal="center" vertical="center"/>
    </xf>
    <xf borderId="4" fillId="8" fontId="2" numFmtId="164" xfId="0" applyBorder="1" applyFont="1" applyNumberFormat="1"/>
    <xf borderId="0" fillId="0" fontId="7" numFmtId="164" xfId="0" applyAlignment="1" applyFont="1" applyNumberFormat="1">
      <alignment horizontal="center" shrinkToFit="0" vertical="center" wrapText="1"/>
    </xf>
    <xf quotePrefix="1" borderId="0" fillId="0" fontId="7" numFmtId="0" xfId="0" applyAlignment="1" applyFont="1">
      <alignment shrinkToFit="1" vertical="center" wrapText="0"/>
    </xf>
    <xf borderId="4" fillId="3" fontId="7" numFmtId="0" xfId="0" applyAlignment="1" applyBorder="1" applyFont="1">
      <alignment horizontal="right" vertical="center"/>
    </xf>
    <xf borderId="4" fillId="3" fontId="4" numFmtId="0" xfId="0" applyAlignment="1" applyBorder="1" applyFont="1">
      <alignment horizontal="left" vertical="center"/>
    </xf>
    <xf borderId="4" fillId="8" fontId="2" numFmtId="0" xfId="0" applyAlignment="1" applyBorder="1" applyFont="1">
      <alignment shrinkToFit="0" vertical="center" wrapText="1"/>
    </xf>
    <xf borderId="4" fillId="2" fontId="2" numFmtId="0" xfId="0" applyAlignment="1" applyBorder="1" applyFont="1">
      <alignment horizontal="center" vertical="center"/>
    </xf>
    <xf borderId="7" fillId="2" fontId="7" numFmtId="164" xfId="0" applyAlignment="1" applyBorder="1" applyFont="1" applyNumberForma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5" fillId="8" fontId="37" numFmtId="0" xfId="0" applyAlignment="1" applyBorder="1" applyFont="1">
      <alignment horizontal="left"/>
    </xf>
    <xf borderId="4" fillId="8" fontId="7" numFmtId="0" xfId="0" applyAlignment="1" applyBorder="1" applyFont="1">
      <alignment shrinkToFit="1" vertical="center" wrapText="0"/>
    </xf>
    <xf borderId="4" fillId="8" fontId="2" numFmtId="164" xfId="0" applyAlignment="1" applyBorder="1" applyFont="1" applyNumberFormat="1">
      <alignment vertical="center"/>
    </xf>
    <xf borderId="4" fillId="4" fontId="37" numFmtId="0" xfId="0" applyAlignment="1" applyBorder="1" applyFont="1">
      <alignment horizontal="center"/>
    </xf>
    <xf borderId="4" fillId="4" fontId="4" numFmtId="0" xfId="0" applyAlignment="1" applyBorder="1" applyFont="1">
      <alignment horizontal="left" shrinkToFit="1" vertical="center" wrapText="0"/>
    </xf>
    <xf borderId="4" fillId="4" fontId="4" numFmtId="0" xfId="0" applyAlignment="1" applyBorder="1" applyFont="1">
      <alignment shrinkToFit="1" vertical="center" wrapText="0"/>
    </xf>
    <xf borderId="4" fillId="4" fontId="4" numFmtId="164" xfId="0" applyAlignment="1" applyBorder="1" applyFont="1" applyNumberFormat="1">
      <alignment vertical="center"/>
    </xf>
    <xf borderId="4" fillId="4" fontId="4" numFmtId="0" xfId="0" applyBorder="1" applyFont="1"/>
    <xf borderId="0" fillId="0" fontId="33" numFmtId="0" xfId="0" applyAlignment="1" applyFont="1">
      <alignment vertical="center"/>
    </xf>
    <xf borderId="0" fillId="0" fontId="7" numFmtId="164" xfId="0" applyAlignment="1" applyFont="1" applyNumberFormat="1">
      <alignment shrinkToFit="0" vertical="center" wrapText="1"/>
    </xf>
    <xf borderId="0" fillId="0" fontId="7" numFmtId="0" xfId="0" applyAlignment="1" applyFont="1">
      <alignment horizontal="right"/>
    </xf>
    <xf borderId="0" fillId="0" fontId="7" numFmtId="164" xfId="0" applyAlignment="1" applyFont="1" applyNumberFormat="1">
      <alignment horizontal="center"/>
    </xf>
    <xf borderId="0" fillId="0" fontId="7" numFmtId="164" xfId="0" applyFont="1" applyNumberFormat="1"/>
    <xf borderId="0" fillId="0" fontId="7" numFmtId="0" xfId="0" applyAlignment="1" applyFont="1">
      <alignment horizontal="center" shrinkToFit="0" wrapText="1"/>
    </xf>
    <xf borderId="0" fillId="0" fontId="4" numFmtId="164" xfId="0" applyAlignment="1" applyFont="1" applyNumberFormat="1">
      <alignment horizontal="left" vertical="center"/>
    </xf>
    <xf borderId="4" fillId="3" fontId="7" numFmtId="0" xfId="0" applyAlignment="1" applyBorder="1" applyFont="1">
      <alignment horizontal="left" vertical="center"/>
    </xf>
    <xf borderId="4" fillId="3" fontId="7" numFmtId="164" xfId="0" applyAlignment="1" applyBorder="1" applyFont="1" applyNumberFormat="1">
      <alignment horizontal="right" vertical="center"/>
    </xf>
    <xf borderId="0" fillId="0" fontId="2" numFmtId="0" xfId="0" applyAlignment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5.71"/>
    <col customWidth="1" min="2" max="2" width="64.0"/>
    <col customWidth="1" min="3" max="3" width="50.71"/>
    <col customWidth="1" min="4" max="4" width="15.71"/>
    <col customWidth="1" min="5" max="5" width="8.71"/>
    <col customWidth="1" min="6" max="6" width="4.0"/>
    <col customWidth="1" min="7" max="7" width="10.71"/>
    <col customWidth="1" min="8" max="8" width="12.43"/>
    <col customWidth="1" min="9" max="10" width="13.43"/>
    <col customWidth="1" min="11" max="11" width="13.0"/>
    <col customWidth="1" min="12" max="12" width="21.71"/>
    <col customWidth="1" min="13" max="14" width="8.71"/>
  </cols>
  <sheetData>
    <row r="1" ht="31.5" customHeight="1">
      <c r="A1" s="1">
        <v>1141212.0</v>
      </c>
      <c r="B1" s="2"/>
      <c r="C1" s="2"/>
      <c r="D1" s="3"/>
      <c r="E1" s="4"/>
      <c r="F1" s="5"/>
      <c r="G1" s="6"/>
      <c r="H1" s="7"/>
      <c r="I1" s="8"/>
      <c r="J1" s="8"/>
      <c r="K1" s="9"/>
      <c r="L1" s="10"/>
      <c r="M1" s="10"/>
      <c r="N1" s="10"/>
    </row>
    <row r="2" ht="21.75" customHeight="1">
      <c r="A2" s="11" t="s">
        <v>0</v>
      </c>
      <c r="B2" s="11" t="s">
        <v>1</v>
      </c>
      <c r="C2" s="11" t="s">
        <v>2</v>
      </c>
      <c r="D2" s="12" t="s">
        <v>3</v>
      </c>
      <c r="E2" s="11" t="s">
        <v>4</v>
      </c>
      <c r="F2" s="13"/>
      <c r="G2" s="14" t="s">
        <v>5</v>
      </c>
      <c r="H2" s="11" t="s">
        <v>6</v>
      </c>
      <c r="I2" s="15" t="s">
        <v>7</v>
      </c>
      <c r="J2" s="15" t="s">
        <v>8</v>
      </c>
      <c r="K2" s="16" t="s">
        <v>9</v>
      </c>
      <c r="L2" s="17"/>
      <c r="M2" s="17"/>
      <c r="N2" s="17"/>
    </row>
    <row r="3" ht="31.5" hidden="1" customHeight="1">
      <c r="A3" s="18" t="s">
        <v>10</v>
      </c>
      <c r="B3" s="19"/>
      <c r="C3" s="11"/>
      <c r="D3" s="12"/>
      <c r="E3" s="20"/>
      <c r="F3" s="21"/>
      <c r="G3" s="14"/>
      <c r="H3" s="11"/>
      <c r="I3" s="15"/>
      <c r="J3" s="15"/>
      <c r="K3" s="16"/>
      <c r="L3" s="17"/>
      <c r="M3" s="17"/>
      <c r="N3" s="17"/>
    </row>
    <row r="4" ht="12.75" hidden="1" customHeight="1">
      <c r="A4" s="22" t="s">
        <v>11</v>
      </c>
      <c r="B4" s="22" t="s">
        <v>12</v>
      </c>
      <c r="C4" s="22" t="s">
        <v>13</v>
      </c>
      <c r="D4" s="23" t="s">
        <v>14</v>
      </c>
      <c r="E4" s="4">
        <v>7.0</v>
      </c>
      <c r="F4" s="5" t="s">
        <v>15</v>
      </c>
      <c r="G4" s="6"/>
      <c r="H4" s="24"/>
      <c r="I4" s="25"/>
      <c r="J4" s="25"/>
      <c r="K4" s="9">
        <v>1800.0</v>
      </c>
      <c r="L4" s="26"/>
      <c r="M4" s="26"/>
      <c r="N4" s="26"/>
    </row>
    <row r="5" ht="21.75" hidden="1" customHeight="1">
      <c r="A5" s="22" t="s">
        <v>16</v>
      </c>
      <c r="B5" s="22" t="s">
        <v>17</v>
      </c>
      <c r="C5" s="27" t="s">
        <v>18</v>
      </c>
      <c r="D5" s="28" t="s">
        <v>19</v>
      </c>
      <c r="E5" s="4">
        <v>3.0</v>
      </c>
      <c r="F5" s="5" t="s">
        <v>15</v>
      </c>
      <c r="G5" s="6"/>
      <c r="H5" s="24"/>
      <c r="I5" s="25"/>
      <c r="J5" s="25"/>
      <c r="K5" s="9"/>
      <c r="L5" s="26"/>
      <c r="M5" s="26"/>
      <c r="N5" s="26"/>
    </row>
    <row r="6" ht="21.75" hidden="1" customHeight="1">
      <c r="A6" s="22" t="s">
        <v>20</v>
      </c>
      <c r="B6" s="22" t="s">
        <v>21</v>
      </c>
      <c r="C6" s="27" t="s">
        <v>22</v>
      </c>
      <c r="D6" s="28" t="s">
        <v>19</v>
      </c>
      <c r="E6" s="4">
        <v>1.0</v>
      </c>
      <c r="F6" s="5" t="s">
        <v>15</v>
      </c>
      <c r="G6" s="6"/>
      <c r="H6" s="24"/>
      <c r="I6" s="25"/>
      <c r="J6" s="25"/>
      <c r="K6" s="9"/>
      <c r="L6" s="26"/>
      <c r="M6" s="26"/>
      <c r="N6" s="26"/>
    </row>
    <row r="7" ht="21.75" hidden="1" customHeight="1">
      <c r="A7" s="22" t="s">
        <v>23</v>
      </c>
      <c r="B7" s="22" t="s">
        <v>24</v>
      </c>
      <c r="C7" s="27" t="s">
        <v>25</v>
      </c>
      <c r="D7" s="28" t="s">
        <v>19</v>
      </c>
      <c r="E7" s="4">
        <v>1.0</v>
      </c>
      <c r="F7" s="5" t="s">
        <v>15</v>
      </c>
      <c r="G7" s="6"/>
      <c r="H7" s="24"/>
      <c r="I7" s="25"/>
      <c r="J7" s="25"/>
      <c r="K7" s="9"/>
      <c r="L7" s="26"/>
      <c r="M7" s="26"/>
      <c r="N7" s="26"/>
    </row>
    <row r="8" ht="21.75" hidden="1" customHeight="1">
      <c r="A8" s="29" t="s">
        <v>26</v>
      </c>
      <c r="B8" s="5" t="s">
        <v>27</v>
      </c>
      <c r="C8" s="30" t="s">
        <v>28</v>
      </c>
      <c r="D8" s="31"/>
      <c r="E8" s="4"/>
      <c r="F8" s="5"/>
      <c r="G8" s="25"/>
      <c r="H8" s="32"/>
      <c r="I8" s="33"/>
      <c r="J8" s="33"/>
      <c r="K8" s="33"/>
      <c r="L8" s="26"/>
      <c r="M8" s="26"/>
      <c r="N8" s="26"/>
    </row>
    <row r="9" ht="21.75" hidden="1" customHeight="1">
      <c r="A9" s="29" t="s">
        <v>29</v>
      </c>
      <c r="B9" s="5" t="s">
        <v>30</v>
      </c>
      <c r="C9" s="30" t="s">
        <v>31</v>
      </c>
      <c r="D9" s="31"/>
      <c r="E9" s="4"/>
      <c r="F9" s="5"/>
      <c r="G9" s="25"/>
      <c r="H9" s="32"/>
      <c r="I9" s="33"/>
      <c r="J9" s="33"/>
      <c r="K9" s="33"/>
      <c r="L9" s="26"/>
      <c r="M9" s="26"/>
      <c r="N9" s="26"/>
    </row>
    <row r="10" ht="21.75" hidden="1" customHeight="1">
      <c r="A10" s="22" t="s">
        <v>32</v>
      </c>
      <c r="B10" s="30" t="s">
        <v>33</v>
      </c>
      <c r="C10" s="30" t="s">
        <v>34</v>
      </c>
      <c r="D10" s="31"/>
      <c r="E10" s="4"/>
      <c r="F10" s="5"/>
      <c r="G10" s="25"/>
      <c r="H10" s="32"/>
      <c r="I10" s="33"/>
      <c r="J10" s="33"/>
      <c r="K10" s="33"/>
      <c r="L10" s="26"/>
      <c r="M10" s="26"/>
      <c r="N10" s="26"/>
    </row>
    <row r="11" ht="21.75" hidden="1" customHeight="1">
      <c r="A11" s="29">
        <v>47168.0</v>
      </c>
      <c r="B11" s="5" t="s">
        <v>35</v>
      </c>
      <c r="C11" s="30" t="s">
        <v>36</v>
      </c>
      <c r="D11" s="31"/>
      <c r="E11" s="4"/>
      <c r="F11" s="5"/>
      <c r="G11" s="25"/>
      <c r="H11" s="32"/>
      <c r="I11" s="33"/>
      <c r="J11" s="33"/>
      <c r="K11" s="33"/>
      <c r="L11" s="26"/>
      <c r="M11" s="26"/>
      <c r="N11" s="26"/>
    </row>
    <row r="12" ht="21.75" hidden="1" customHeight="1">
      <c r="A12" s="29" t="s">
        <v>37</v>
      </c>
      <c r="B12" s="5" t="s">
        <v>38</v>
      </c>
      <c r="C12" s="30" t="s">
        <v>39</v>
      </c>
      <c r="D12" s="31"/>
      <c r="E12" s="4"/>
      <c r="F12" s="5"/>
      <c r="G12" s="25"/>
      <c r="H12" s="32"/>
      <c r="I12" s="33"/>
      <c r="J12" s="33"/>
      <c r="K12" s="33"/>
      <c r="L12" s="26"/>
      <c r="M12" s="26"/>
      <c r="N12" s="26"/>
    </row>
    <row r="13" ht="21.75" hidden="1" customHeight="1">
      <c r="A13" s="22" t="s">
        <v>40</v>
      </c>
      <c r="B13" s="30" t="s">
        <v>41</v>
      </c>
      <c r="C13" s="30" t="s">
        <v>42</v>
      </c>
      <c r="D13" s="31"/>
      <c r="E13" s="4"/>
      <c r="F13" s="5"/>
      <c r="G13" s="25"/>
      <c r="H13" s="32"/>
      <c r="I13" s="33"/>
      <c r="J13" s="33"/>
      <c r="K13" s="33"/>
      <c r="L13" s="26"/>
      <c r="M13" s="26"/>
      <c r="N13" s="26"/>
    </row>
    <row r="14" ht="21.75" hidden="1" customHeight="1">
      <c r="A14" s="29" t="s">
        <v>43</v>
      </c>
      <c r="B14" s="22" t="s">
        <v>44</v>
      </c>
      <c r="C14" s="30" t="s">
        <v>45</v>
      </c>
      <c r="D14" s="31"/>
      <c r="E14" s="4">
        <v>1.0</v>
      </c>
      <c r="F14" s="5" t="s">
        <v>15</v>
      </c>
      <c r="G14" s="25"/>
      <c r="H14" s="32"/>
      <c r="I14" s="33"/>
      <c r="J14" s="33"/>
      <c r="K14" s="33"/>
      <c r="L14" s="26"/>
      <c r="M14" s="26"/>
      <c r="N14" s="26"/>
    </row>
    <row r="15" ht="12.75" hidden="1" customHeight="1">
      <c r="A15" s="34" t="s">
        <v>46</v>
      </c>
      <c r="B15" s="27" t="s">
        <v>47</v>
      </c>
      <c r="C15" s="30" t="s">
        <v>48</v>
      </c>
      <c r="D15" s="22" t="s">
        <v>49</v>
      </c>
      <c r="E15" s="4">
        <v>8.0</v>
      </c>
      <c r="F15" s="5" t="s">
        <v>15</v>
      </c>
      <c r="G15" s="25"/>
      <c r="H15" s="35"/>
      <c r="I15" s="36" t="s">
        <v>50</v>
      </c>
      <c r="J15" s="33"/>
      <c r="K15" s="33"/>
      <c r="L15" s="26"/>
      <c r="M15" s="26"/>
      <c r="N15" s="26"/>
    </row>
    <row r="16" ht="21.75" hidden="1" customHeight="1">
      <c r="A16" s="29" t="s">
        <v>51</v>
      </c>
      <c r="B16" s="5" t="s">
        <v>52</v>
      </c>
      <c r="C16" s="30" t="s">
        <v>53</v>
      </c>
      <c r="D16" s="31"/>
      <c r="E16" s="4"/>
      <c r="F16" s="5"/>
      <c r="G16" s="25"/>
      <c r="H16" s="32"/>
      <c r="I16" s="33"/>
      <c r="J16" s="33"/>
      <c r="K16" s="33"/>
      <c r="L16" s="26"/>
      <c r="M16" s="26"/>
      <c r="N16" s="26"/>
    </row>
    <row r="17" ht="21.75" hidden="1" customHeight="1">
      <c r="A17" s="29" t="s">
        <v>54</v>
      </c>
      <c r="B17" s="5" t="s">
        <v>55</v>
      </c>
      <c r="C17" s="30" t="s">
        <v>56</v>
      </c>
      <c r="D17" s="31"/>
      <c r="E17" s="4"/>
      <c r="F17" s="5"/>
      <c r="G17" s="25"/>
      <c r="H17" s="35"/>
      <c r="I17" s="33">
        <v>1450.0</v>
      </c>
      <c r="J17" s="33"/>
      <c r="K17" s="33"/>
      <c r="L17" s="26"/>
      <c r="M17" s="26"/>
      <c r="N17" s="26"/>
    </row>
    <row r="18" ht="21.75" hidden="1" customHeight="1">
      <c r="A18" s="22" t="s">
        <v>57</v>
      </c>
      <c r="B18" s="22" t="s">
        <v>58</v>
      </c>
      <c r="C18" s="27" t="s">
        <v>59</v>
      </c>
      <c r="D18" s="22"/>
      <c r="E18" s="4"/>
      <c r="F18" s="5"/>
      <c r="G18" s="6"/>
      <c r="H18" s="37"/>
      <c r="I18" s="8"/>
      <c r="J18" s="25"/>
      <c r="K18" s="9"/>
      <c r="L18" s="26"/>
      <c r="M18" s="26"/>
      <c r="N18" s="26"/>
    </row>
    <row r="19" ht="21.75" hidden="1" customHeight="1">
      <c r="A19" s="29" t="s">
        <v>60</v>
      </c>
      <c r="B19" s="5" t="s">
        <v>61</v>
      </c>
      <c r="C19" s="30" t="s">
        <v>62</v>
      </c>
      <c r="D19" s="31"/>
      <c r="E19" s="4"/>
      <c r="F19" s="5"/>
      <c r="G19" s="25"/>
      <c r="H19" s="32"/>
      <c r="I19" s="33"/>
      <c r="J19" s="33"/>
      <c r="K19" s="33"/>
      <c r="L19" s="26"/>
      <c r="M19" s="26"/>
      <c r="N19" s="26"/>
    </row>
    <row r="20" ht="21.75" hidden="1" customHeight="1">
      <c r="A20" s="34" t="s">
        <v>63</v>
      </c>
      <c r="B20" s="5" t="s">
        <v>64</v>
      </c>
      <c r="C20" s="30" t="s">
        <v>65</v>
      </c>
      <c r="D20" s="31"/>
      <c r="E20" s="4"/>
      <c r="F20" s="5"/>
      <c r="G20" s="25"/>
      <c r="H20" s="32"/>
      <c r="I20" s="33"/>
      <c r="J20" s="33"/>
      <c r="K20" s="33"/>
      <c r="L20" s="26"/>
      <c r="M20" s="26"/>
      <c r="N20" s="26"/>
    </row>
    <row r="21" ht="21.75" hidden="1" customHeight="1">
      <c r="A21" s="29" t="s">
        <v>66</v>
      </c>
      <c r="B21" s="5" t="s">
        <v>67</v>
      </c>
      <c r="C21" s="30" t="s">
        <v>68</v>
      </c>
      <c r="D21" s="22" t="s">
        <v>49</v>
      </c>
      <c r="E21" s="4"/>
      <c r="F21" s="5"/>
      <c r="G21" s="25"/>
      <c r="H21" s="32"/>
      <c r="I21" s="33">
        <v>980.0</v>
      </c>
      <c r="J21" s="33"/>
      <c r="K21" s="33"/>
      <c r="L21" s="26"/>
      <c r="M21" s="26"/>
      <c r="N21" s="26"/>
    </row>
    <row r="22" ht="21.75" hidden="1" customHeight="1">
      <c r="A22" s="29">
        <v>62033.0</v>
      </c>
      <c r="B22" s="5" t="s">
        <v>69</v>
      </c>
      <c r="C22" s="30" t="s">
        <v>70</v>
      </c>
      <c r="D22" s="31"/>
      <c r="E22" s="4"/>
      <c r="F22" s="5"/>
      <c r="G22" s="25"/>
      <c r="H22" s="32"/>
      <c r="I22" s="33"/>
      <c r="J22" s="33"/>
      <c r="K22" s="33"/>
      <c r="L22" s="26"/>
      <c r="M22" s="26"/>
      <c r="N22" s="26"/>
    </row>
    <row r="23" ht="21.75" hidden="1" customHeight="1">
      <c r="A23" s="29" t="s">
        <v>71</v>
      </c>
      <c r="B23" s="30" t="s">
        <v>72</v>
      </c>
      <c r="C23" s="30" t="s">
        <v>73</v>
      </c>
      <c r="D23" s="31"/>
      <c r="E23" s="4"/>
      <c r="F23" s="5"/>
      <c r="G23" s="25"/>
      <c r="H23" s="32"/>
      <c r="I23" s="33"/>
      <c r="J23" s="33"/>
      <c r="K23" s="33"/>
      <c r="L23" s="26"/>
      <c r="M23" s="26"/>
      <c r="N23" s="26"/>
    </row>
    <row r="24" ht="21.75" hidden="1" customHeight="1">
      <c r="A24" s="29" t="s">
        <v>74</v>
      </c>
      <c r="B24" s="5" t="s">
        <v>75</v>
      </c>
      <c r="C24" s="30" t="s">
        <v>76</v>
      </c>
      <c r="D24" s="22" t="s">
        <v>49</v>
      </c>
      <c r="E24" s="4"/>
      <c r="F24" s="5"/>
      <c r="G24" s="25"/>
      <c r="H24" s="32"/>
      <c r="I24" s="33"/>
      <c r="J24" s="33"/>
      <c r="K24" s="33"/>
      <c r="L24" s="26"/>
      <c r="M24" s="26"/>
      <c r="N24" s="26"/>
    </row>
    <row r="25" ht="21.75" hidden="1" customHeight="1">
      <c r="A25" s="29" t="s">
        <v>77</v>
      </c>
      <c r="B25" s="30" t="s">
        <v>78</v>
      </c>
      <c r="C25" s="30" t="s">
        <v>79</v>
      </c>
      <c r="D25" s="31"/>
      <c r="E25" s="4"/>
      <c r="F25" s="5"/>
      <c r="G25" s="25"/>
      <c r="H25" s="32"/>
      <c r="I25" s="33"/>
      <c r="J25" s="33"/>
      <c r="K25" s="33"/>
      <c r="L25" s="26"/>
      <c r="M25" s="26"/>
      <c r="N25" s="26"/>
    </row>
    <row r="26" ht="21.75" hidden="1" customHeight="1">
      <c r="A26" s="29" t="s">
        <v>80</v>
      </c>
      <c r="B26" s="30" t="s">
        <v>81</v>
      </c>
      <c r="C26" s="30" t="s">
        <v>82</v>
      </c>
      <c r="D26" s="22" t="s">
        <v>83</v>
      </c>
      <c r="E26" s="4"/>
      <c r="F26" s="5"/>
      <c r="G26" s="25"/>
      <c r="H26" s="32"/>
      <c r="I26" s="33">
        <v>1480.0</v>
      </c>
      <c r="J26" s="33"/>
      <c r="K26" s="33"/>
      <c r="L26" s="26"/>
      <c r="M26" s="26"/>
      <c r="N26" s="26"/>
    </row>
    <row r="27" ht="21.75" hidden="1" customHeight="1">
      <c r="A27" s="27" t="s">
        <v>84</v>
      </c>
      <c r="B27" s="27" t="s">
        <v>85</v>
      </c>
      <c r="C27" s="27" t="s">
        <v>86</v>
      </c>
      <c r="D27" s="3"/>
      <c r="E27" s="4"/>
      <c r="F27" s="5"/>
      <c r="G27" s="6"/>
      <c r="H27" s="7"/>
      <c r="I27" s="25">
        <v>350.0</v>
      </c>
      <c r="J27" s="9"/>
      <c r="K27" s="9"/>
      <c r="L27" s="26"/>
      <c r="M27" s="26"/>
      <c r="N27" s="26"/>
    </row>
    <row r="28" ht="21.75" hidden="1" customHeight="1">
      <c r="A28" s="22" t="s">
        <v>87</v>
      </c>
      <c r="B28" s="22" t="s">
        <v>88</v>
      </c>
      <c r="C28" s="27" t="s">
        <v>89</v>
      </c>
      <c r="D28" s="28"/>
      <c r="E28" s="4"/>
      <c r="F28" s="5"/>
      <c r="G28" s="6"/>
      <c r="H28" s="24"/>
      <c r="I28" s="25"/>
      <c r="J28" s="25"/>
      <c r="K28" s="9"/>
      <c r="L28" s="26"/>
      <c r="M28" s="26"/>
      <c r="N28" s="26"/>
    </row>
    <row r="29" ht="21.75" hidden="1" customHeight="1">
      <c r="A29" s="22" t="s">
        <v>90</v>
      </c>
      <c r="B29" s="22" t="s">
        <v>91</v>
      </c>
      <c r="C29" s="27" t="s">
        <v>92</v>
      </c>
      <c r="D29" s="28"/>
      <c r="E29" s="4"/>
      <c r="F29" s="5"/>
      <c r="G29" s="6"/>
      <c r="H29" s="24"/>
      <c r="I29" s="25"/>
      <c r="J29" s="25"/>
      <c r="K29" s="9"/>
      <c r="L29" s="26"/>
      <c r="M29" s="26"/>
      <c r="N29" s="26"/>
    </row>
    <row r="30" ht="21.75" hidden="1" customHeight="1">
      <c r="A30" s="22" t="s">
        <v>93</v>
      </c>
      <c r="B30" s="22" t="s">
        <v>94</v>
      </c>
      <c r="C30" s="27" t="s">
        <v>95</v>
      </c>
      <c r="D30" s="28"/>
      <c r="E30" s="4"/>
      <c r="F30" s="5"/>
      <c r="G30" s="6"/>
      <c r="H30" s="24"/>
      <c r="I30" s="25">
        <v>1800.0</v>
      </c>
      <c r="J30" s="25"/>
      <c r="K30" s="9"/>
      <c r="L30" s="26"/>
      <c r="M30" s="26"/>
      <c r="N30" s="26"/>
    </row>
    <row r="31" ht="21.75" hidden="1" customHeight="1">
      <c r="A31" s="22" t="s">
        <v>96</v>
      </c>
      <c r="B31" s="22" t="s">
        <v>97</v>
      </c>
      <c r="C31" s="27" t="s">
        <v>98</v>
      </c>
      <c r="D31" s="22" t="s">
        <v>99</v>
      </c>
      <c r="E31" s="4"/>
      <c r="F31" s="5"/>
      <c r="G31" s="6"/>
      <c r="H31" s="24"/>
      <c r="I31" s="25">
        <v>6000.0</v>
      </c>
      <c r="J31" s="25"/>
      <c r="K31" s="9"/>
      <c r="L31" s="26"/>
      <c r="M31" s="26"/>
      <c r="N31" s="26"/>
    </row>
    <row r="32" ht="21.75" hidden="1" customHeight="1">
      <c r="A32" s="22" t="s">
        <v>100</v>
      </c>
      <c r="B32" s="22" t="s">
        <v>101</v>
      </c>
      <c r="C32" s="27" t="s">
        <v>102</v>
      </c>
      <c r="D32" s="22" t="s">
        <v>103</v>
      </c>
      <c r="E32" s="4"/>
      <c r="F32" s="5"/>
      <c r="G32" s="6"/>
      <c r="H32" s="24">
        <v>44658.0</v>
      </c>
      <c r="I32" s="25">
        <v>3500.0</v>
      </c>
      <c r="J32" s="25">
        <v>3100.0</v>
      </c>
      <c r="K32" s="9"/>
      <c r="L32" s="26"/>
      <c r="M32" s="26"/>
      <c r="N32" s="26"/>
    </row>
    <row r="33" ht="21.75" hidden="1" customHeight="1">
      <c r="A33" s="22" t="s">
        <v>104</v>
      </c>
      <c r="B33" s="22" t="s">
        <v>105</v>
      </c>
      <c r="C33" s="27" t="s">
        <v>106</v>
      </c>
      <c r="D33" s="22" t="s">
        <v>49</v>
      </c>
      <c r="E33" s="4"/>
      <c r="F33" s="5"/>
      <c r="G33" s="6"/>
      <c r="H33" s="37"/>
      <c r="I33" s="25"/>
      <c r="J33" s="25"/>
      <c r="K33" s="9"/>
      <c r="L33" s="26"/>
      <c r="M33" s="26"/>
      <c r="N33" s="26"/>
    </row>
    <row r="34" ht="21.75" hidden="1" customHeight="1">
      <c r="A34" s="22" t="s">
        <v>107</v>
      </c>
      <c r="B34" s="22" t="s">
        <v>108</v>
      </c>
      <c r="C34" s="27" t="s">
        <v>109</v>
      </c>
      <c r="D34" s="22" t="s">
        <v>49</v>
      </c>
      <c r="E34" s="4"/>
      <c r="F34" s="5"/>
      <c r="G34" s="6">
        <v>6000.0</v>
      </c>
      <c r="H34" s="37"/>
      <c r="I34" s="8"/>
      <c r="J34" s="25"/>
      <c r="K34" s="9"/>
      <c r="L34" s="26"/>
      <c r="M34" s="26"/>
      <c r="N34" s="26"/>
    </row>
    <row r="35" ht="12.75" hidden="1" customHeight="1">
      <c r="A35" s="38" t="s">
        <v>110</v>
      </c>
      <c r="B35" s="22" t="s">
        <v>111</v>
      </c>
      <c r="C35" s="27" t="s">
        <v>112</v>
      </c>
      <c r="D35" s="22"/>
      <c r="E35" s="4">
        <v>10.0</v>
      </c>
      <c r="F35" s="5" t="s">
        <v>15</v>
      </c>
      <c r="G35" s="6"/>
      <c r="H35" s="37"/>
      <c r="I35" s="8"/>
      <c r="J35" s="25"/>
      <c r="K35" s="9"/>
      <c r="L35" s="26"/>
      <c r="M35" s="26"/>
      <c r="N35" s="26"/>
    </row>
    <row r="36" ht="12.75" hidden="1" customHeight="1">
      <c r="A36" s="38" t="s">
        <v>113</v>
      </c>
      <c r="B36" s="22" t="s">
        <v>114</v>
      </c>
      <c r="C36" s="27" t="s">
        <v>115</v>
      </c>
      <c r="D36" s="22" t="s">
        <v>116</v>
      </c>
      <c r="E36" s="4"/>
      <c r="F36" s="5"/>
      <c r="G36" s="6">
        <v>9000.0</v>
      </c>
      <c r="H36" s="37"/>
      <c r="I36" s="39" t="s">
        <v>117</v>
      </c>
      <c r="J36" s="25"/>
      <c r="K36" s="9"/>
      <c r="L36" s="26"/>
      <c r="M36" s="26"/>
      <c r="N36" s="26"/>
    </row>
    <row r="37" ht="21.75" hidden="1" customHeight="1">
      <c r="A37" s="22" t="s">
        <v>118</v>
      </c>
      <c r="B37" s="22" t="s">
        <v>119</v>
      </c>
      <c r="C37" s="27" t="s">
        <v>120</v>
      </c>
      <c r="D37" s="29" t="s">
        <v>49</v>
      </c>
      <c r="E37" s="4"/>
      <c r="F37" s="5"/>
      <c r="G37" s="6"/>
      <c r="H37" s="24"/>
      <c r="I37" s="25">
        <v>2650.0</v>
      </c>
      <c r="J37" s="25"/>
      <c r="K37" s="9"/>
      <c r="L37" s="26"/>
      <c r="M37" s="26"/>
      <c r="N37" s="26"/>
    </row>
    <row r="38" ht="12.75" hidden="1" customHeight="1">
      <c r="A38" s="38" t="s">
        <v>121</v>
      </c>
      <c r="B38" s="22" t="s">
        <v>119</v>
      </c>
      <c r="C38" s="27" t="s">
        <v>122</v>
      </c>
      <c r="D38" s="28"/>
      <c r="E38" s="4"/>
      <c r="F38" s="5"/>
      <c r="G38" s="6"/>
      <c r="H38" s="24"/>
      <c r="I38" s="39" t="s">
        <v>123</v>
      </c>
      <c r="J38" s="25"/>
      <c r="K38" s="9"/>
      <c r="L38" s="26"/>
      <c r="M38" s="26"/>
      <c r="N38" s="26"/>
    </row>
    <row r="39" ht="21.75" hidden="1" customHeight="1">
      <c r="A39" s="29" t="s">
        <v>124</v>
      </c>
      <c r="B39" s="5" t="s">
        <v>125</v>
      </c>
      <c r="C39" s="30" t="s">
        <v>126</v>
      </c>
      <c r="D39" s="31"/>
      <c r="E39" s="4"/>
      <c r="F39" s="5"/>
      <c r="G39" s="25"/>
      <c r="H39" s="32"/>
      <c r="I39" s="33"/>
      <c r="J39" s="33"/>
      <c r="K39" s="33"/>
      <c r="L39" s="26"/>
      <c r="M39" s="26"/>
      <c r="N39" s="26"/>
    </row>
    <row r="40" ht="21.75" hidden="1" customHeight="1">
      <c r="A40" s="22" t="s">
        <v>127</v>
      </c>
      <c r="B40" s="30" t="s">
        <v>128</v>
      </c>
      <c r="C40" s="30" t="s">
        <v>129</v>
      </c>
      <c r="D40" s="31"/>
      <c r="E40" s="4"/>
      <c r="F40" s="5"/>
      <c r="G40" s="25"/>
      <c r="H40" s="32"/>
      <c r="I40" s="33"/>
      <c r="J40" s="33"/>
      <c r="K40" s="33"/>
      <c r="L40" s="26"/>
      <c r="M40" s="26"/>
      <c r="N40" s="26"/>
    </row>
    <row r="41" ht="21.75" hidden="1" customHeight="1">
      <c r="A41" s="22" t="s">
        <v>130</v>
      </c>
      <c r="B41" s="22" t="s">
        <v>131</v>
      </c>
      <c r="C41" s="27" t="s">
        <v>132</v>
      </c>
      <c r="D41" s="28"/>
      <c r="E41" s="4"/>
      <c r="F41" s="5"/>
      <c r="G41" s="6"/>
      <c r="H41" s="24">
        <v>44680.0</v>
      </c>
      <c r="I41" s="25">
        <v>11500.0</v>
      </c>
      <c r="J41" s="25"/>
      <c r="K41" s="9"/>
      <c r="L41" s="26"/>
      <c r="M41" s="26"/>
      <c r="N41" s="26"/>
    </row>
    <row r="42" ht="21.75" hidden="1" customHeight="1">
      <c r="A42" s="22" t="s">
        <v>130</v>
      </c>
      <c r="B42" s="22" t="s">
        <v>131</v>
      </c>
      <c r="C42" s="27" t="s">
        <v>133</v>
      </c>
      <c r="D42" s="22" t="s">
        <v>134</v>
      </c>
      <c r="E42" s="4"/>
      <c r="F42" s="5"/>
      <c r="G42" s="6"/>
      <c r="H42" s="24"/>
      <c r="I42" s="25">
        <v>12500.0</v>
      </c>
      <c r="J42" s="25"/>
      <c r="K42" s="9"/>
      <c r="L42" s="26"/>
      <c r="M42" s="26"/>
      <c r="N42" s="26"/>
    </row>
    <row r="43" ht="21.75" hidden="1" customHeight="1">
      <c r="A43" s="22" t="s">
        <v>135</v>
      </c>
      <c r="B43" s="27" t="s">
        <v>136</v>
      </c>
      <c r="C43" s="27" t="s">
        <v>137</v>
      </c>
      <c r="D43" s="22" t="s">
        <v>138</v>
      </c>
      <c r="E43" s="4">
        <v>5.0</v>
      </c>
      <c r="F43" s="5" t="s">
        <v>15</v>
      </c>
      <c r="G43" s="6"/>
      <c r="H43" s="24"/>
      <c r="I43" s="25"/>
      <c r="J43" s="25"/>
      <c r="K43" s="9"/>
      <c r="L43" s="26"/>
      <c r="M43" s="26"/>
      <c r="N43" s="26"/>
    </row>
    <row r="44" ht="21.75" hidden="1" customHeight="1">
      <c r="A44" s="22" t="s">
        <v>139</v>
      </c>
      <c r="B44" s="22" t="s">
        <v>140</v>
      </c>
      <c r="C44" s="27" t="s">
        <v>141</v>
      </c>
      <c r="D44" s="22"/>
      <c r="E44" s="4"/>
      <c r="F44" s="5"/>
      <c r="G44" s="6"/>
      <c r="H44" s="24"/>
      <c r="I44" s="25"/>
      <c r="J44" s="25"/>
      <c r="K44" s="9"/>
      <c r="L44" s="26"/>
      <c r="M44" s="26"/>
      <c r="N44" s="26"/>
    </row>
    <row r="45" ht="21.75" hidden="1" customHeight="1">
      <c r="A45" s="22" t="s">
        <v>142</v>
      </c>
      <c r="B45" s="27" t="s">
        <v>136</v>
      </c>
      <c r="C45" s="27" t="s">
        <v>143</v>
      </c>
      <c r="D45" s="22"/>
      <c r="E45" s="4"/>
      <c r="F45" s="5"/>
      <c r="G45" s="6"/>
      <c r="H45" s="24"/>
      <c r="I45" s="25"/>
      <c r="J45" s="25"/>
      <c r="K45" s="9"/>
      <c r="L45" s="26"/>
      <c r="M45" s="26"/>
      <c r="N45" s="26"/>
    </row>
    <row r="46" ht="21.75" hidden="1" customHeight="1">
      <c r="A46" s="22" t="s">
        <v>144</v>
      </c>
      <c r="B46" s="27" t="s">
        <v>145</v>
      </c>
      <c r="C46" s="27" t="s">
        <v>146</v>
      </c>
      <c r="D46" s="22" t="s">
        <v>134</v>
      </c>
      <c r="E46" s="4"/>
      <c r="F46" s="5"/>
      <c r="G46" s="6"/>
      <c r="H46" s="24"/>
      <c r="I46" s="8"/>
      <c r="J46" s="25"/>
      <c r="K46" s="9"/>
      <c r="L46" s="26"/>
      <c r="M46" s="26"/>
      <c r="N46" s="26"/>
    </row>
    <row r="47" ht="21.75" hidden="1" customHeight="1">
      <c r="A47" s="22" t="s">
        <v>147</v>
      </c>
      <c r="B47" s="27" t="s">
        <v>145</v>
      </c>
      <c r="C47" s="27" t="s">
        <v>148</v>
      </c>
      <c r="D47" s="22" t="s">
        <v>134</v>
      </c>
      <c r="E47" s="4"/>
      <c r="F47" s="5"/>
      <c r="G47" s="6"/>
      <c r="H47" s="24"/>
      <c r="I47" s="8"/>
      <c r="J47" s="25"/>
      <c r="K47" s="9"/>
      <c r="L47" s="26"/>
      <c r="M47" s="26"/>
      <c r="N47" s="26"/>
    </row>
    <row r="48" ht="21.75" hidden="1" customHeight="1">
      <c r="A48" s="22" t="s">
        <v>149</v>
      </c>
      <c r="B48" s="22" t="s">
        <v>150</v>
      </c>
      <c r="C48" s="27" t="s">
        <v>151</v>
      </c>
      <c r="D48" s="22"/>
      <c r="E48" s="4"/>
      <c r="F48" s="5"/>
      <c r="G48" s="6"/>
      <c r="H48" s="37"/>
      <c r="I48" s="8"/>
      <c r="J48" s="25"/>
      <c r="K48" s="9"/>
      <c r="L48" s="26"/>
      <c r="M48" s="26"/>
      <c r="N48" s="26"/>
    </row>
    <row r="49" ht="21.75" hidden="1" customHeight="1">
      <c r="A49" s="22" t="s">
        <v>152</v>
      </c>
      <c r="B49" s="22" t="s">
        <v>153</v>
      </c>
      <c r="C49" s="27" t="s">
        <v>154</v>
      </c>
      <c r="D49" s="22"/>
      <c r="E49" s="4"/>
      <c r="F49" s="5"/>
      <c r="G49" s="6"/>
      <c r="H49" s="37"/>
      <c r="I49" s="8"/>
      <c r="J49" s="25"/>
      <c r="K49" s="9"/>
      <c r="L49" s="26"/>
      <c r="M49" s="26"/>
      <c r="N49" s="26"/>
    </row>
    <row r="50" ht="12.75" hidden="1" customHeight="1">
      <c r="A50" s="38" t="s">
        <v>155</v>
      </c>
      <c r="B50" s="22" t="s">
        <v>156</v>
      </c>
      <c r="C50" s="27" t="s">
        <v>157</v>
      </c>
      <c r="D50" s="22"/>
      <c r="E50" s="4"/>
      <c r="F50" s="5"/>
      <c r="G50" s="6"/>
      <c r="H50" s="37"/>
      <c r="I50" s="25">
        <v>1350.0</v>
      </c>
      <c r="J50" s="25"/>
      <c r="K50" s="9"/>
      <c r="L50" s="26"/>
      <c r="M50" s="26"/>
      <c r="N50" s="26"/>
    </row>
    <row r="51" ht="21.75" hidden="1" customHeight="1">
      <c r="A51" s="29" t="s">
        <v>158</v>
      </c>
      <c r="B51" s="5" t="s">
        <v>159</v>
      </c>
      <c r="C51" s="30" t="s">
        <v>160</v>
      </c>
      <c r="D51" s="31"/>
      <c r="E51" s="4"/>
      <c r="F51" s="5"/>
      <c r="G51" s="25"/>
      <c r="H51" s="32"/>
      <c r="I51" s="33">
        <v>700.0</v>
      </c>
      <c r="J51" s="33"/>
      <c r="K51" s="33"/>
      <c r="L51" s="26"/>
      <c r="M51" s="26"/>
      <c r="N51" s="26"/>
    </row>
    <row r="52" ht="21.75" hidden="1" customHeight="1">
      <c r="A52" s="29" t="s">
        <v>161</v>
      </c>
      <c r="B52" s="5" t="s">
        <v>162</v>
      </c>
      <c r="C52" s="30"/>
      <c r="D52" s="31"/>
      <c r="E52" s="4"/>
      <c r="F52" s="5"/>
      <c r="G52" s="25"/>
      <c r="H52" s="32"/>
      <c r="I52" s="33"/>
      <c r="J52" s="33"/>
      <c r="K52" s="33"/>
      <c r="L52" s="26"/>
      <c r="M52" s="26"/>
      <c r="N52" s="26"/>
    </row>
    <row r="53" ht="21.75" hidden="1" customHeight="1">
      <c r="A53" s="22" t="s">
        <v>163</v>
      </c>
      <c r="B53" s="22" t="s">
        <v>164</v>
      </c>
      <c r="C53" s="27" t="s">
        <v>165</v>
      </c>
      <c r="D53" s="22"/>
      <c r="E53" s="4"/>
      <c r="F53" s="5"/>
      <c r="G53" s="6"/>
      <c r="H53" s="37"/>
      <c r="I53" s="8">
        <v>14500.0</v>
      </c>
      <c r="J53" s="25"/>
      <c r="K53" s="9"/>
      <c r="L53" s="26"/>
      <c r="M53" s="26"/>
      <c r="N53" s="26"/>
    </row>
    <row r="54" ht="21.75" hidden="1" customHeight="1">
      <c r="A54" s="22" t="s">
        <v>166</v>
      </c>
      <c r="B54" s="22" t="s">
        <v>167</v>
      </c>
      <c r="C54" s="27" t="s">
        <v>168</v>
      </c>
      <c r="D54" s="22" t="s">
        <v>49</v>
      </c>
      <c r="E54" s="4">
        <v>14.0</v>
      </c>
      <c r="F54" s="5" t="s">
        <v>15</v>
      </c>
      <c r="G54" s="6"/>
      <c r="H54" s="37"/>
      <c r="I54" s="8"/>
      <c r="J54" s="25"/>
      <c r="K54" s="9"/>
      <c r="L54" s="26"/>
      <c r="M54" s="26"/>
      <c r="N54" s="26"/>
    </row>
    <row r="55" ht="21.75" hidden="1" customHeight="1">
      <c r="A55" s="29" t="s">
        <v>169</v>
      </c>
      <c r="B55" s="5" t="s">
        <v>170</v>
      </c>
      <c r="C55" s="30" t="s">
        <v>171</v>
      </c>
      <c r="D55" s="22" t="s">
        <v>49</v>
      </c>
      <c r="E55" s="4">
        <v>1.0</v>
      </c>
      <c r="F55" s="5" t="s">
        <v>15</v>
      </c>
      <c r="G55" s="25"/>
      <c r="H55" s="32"/>
      <c r="I55" s="33"/>
      <c r="J55" s="33"/>
      <c r="K55" s="33"/>
      <c r="L55" s="26"/>
      <c r="M55" s="26"/>
      <c r="N55" s="26"/>
    </row>
    <row r="56" ht="21.75" hidden="1" customHeight="1">
      <c r="A56" s="29" t="s">
        <v>172</v>
      </c>
      <c r="B56" s="5" t="s">
        <v>173</v>
      </c>
      <c r="C56" s="27" t="s">
        <v>174</v>
      </c>
      <c r="D56" s="22" t="s">
        <v>175</v>
      </c>
      <c r="E56" s="4">
        <v>5.0</v>
      </c>
      <c r="F56" s="5" t="s">
        <v>15</v>
      </c>
      <c r="G56" s="25"/>
      <c r="H56" s="32"/>
      <c r="I56" s="33">
        <v>2750.0</v>
      </c>
      <c r="J56" s="33"/>
      <c r="K56" s="33"/>
      <c r="L56" s="26"/>
      <c r="M56" s="26"/>
      <c r="N56" s="26"/>
    </row>
    <row r="57" ht="21.75" hidden="1" customHeight="1">
      <c r="A57" s="40" t="s">
        <v>176</v>
      </c>
      <c r="B57" s="22" t="s">
        <v>177</v>
      </c>
      <c r="C57" s="27" t="s">
        <v>178</v>
      </c>
      <c r="D57" s="22"/>
      <c r="E57" s="4"/>
      <c r="F57" s="5"/>
      <c r="G57" s="6"/>
      <c r="H57" s="37"/>
      <c r="I57" s="8"/>
      <c r="J57" s="25"/>
      <c r="K57" s="9"/>
      <c r="L57" s="26"/>
      <c r="M57" s="26"/>
      <c r="N57" s="26"/>
    </row>
    <row r="58" ht="21.75" hidden="1" customHeight="1">
      <c r="A58" s="22" t="s">
        <v>179</v>
      </c>
      <c r="B58" s="30" t="s">
        <v>180</v>
      </c>
      <c r="C58" s="30" t="s">
        <v>181</v>
      </c>
      <c r="D58" s="31"/>
      <c r="E58" s="4"/>
      <c r="F58" s="5"/>
      <c r="G58" s="25"/>
      <c r="H58" s="32"/>
      <c r="I58" s="33"/>
      <c r="J58" s="33"/>
      <c r="K58" s="33"/>
      <c r="L58" s="26"/>
      <c r="M58" s="26"/>
      <c r="N58" s="26"/>
    </row>
    <row r="59" ht="21.75" hidden="1" customHeight="1">
      <c r="A59" s="29" t="s">
        <v>182</v>
      </c>
      <c r="B59" s="5" t="s">
        <v>183</v>
      </c>
      <c r="C59" s="30" t="s">
        <v>184</v>
      </c>
      <c r="D59" s="22" t="s">
        <v>103</v>
      </c>
      <c r="E59" s="4"/>
      <c r="F59" s="5"/>
      <c r="G59" s="25"/>
      <c r="H59" s="32"/>
      <c r="I59" s="33">
        <v>10500.0</v>
      </c>
      <c r="J59" s="33"/>
      <c r="K59" s="33"/>
      <c r="L59" s="26"/>
      <c r="M59" s="26"/>
      <c r="N59" s="26"/>
    </row>
    <row r="60" ht="21.75" hidden="1" customHeight="1">
      <c r="A60" s="22" t="s">
        <v>185</v>
      </c>
      <c r="B60" s="30" t="s">
        <v>186</v>
      </c>
      <c r="C60" s="30" t="s">
        <v>187</v>
      </c>
      <c r="D60" s="31"/>
      <c r="E60" s="4"/>
      <c r="F60" s="5"/>
      <c r="G60" s="25"/>
      <c r="H60" s="32"/>
      <c r="I60" s="33"/>
      <c r="J60" s="33"/>
      <c r="K60" s="33"/>
      <c r="L60" s="26"/>
      <c r="M60" s="26"/>
      <c r="N60" s="26"/>
    </row>
    <row r="61" ht="21.75" hidden="1" customHeight="1">
      <c r="A61" s="22" t="s">
        <v>188</v>
      </c>
      <c r="B61" s="30" t="s">
        <v>189</v>
      </c>
      <c r="C61" s="30" t="s">
        <v>190</v>
      </c>
      <c r="D61" s="31"/>
      <c r="E61" s="4"/>
      <c r="F61" s="5"/>
      <c r="G61" s="25"/>
      <c r="H61" s="32"/>
      <c r="I61" s="33"/>
      <c r="J61" s="33"/>
      <c r="K61" s="33"/>
      <c r="L61" s="26"/>
      <c r="M61" s="26"/>
      <c r="N61" s="26"/>
    </row>
    <row r="62" ht="21.75" hidden="1" customHeight="1">
      <c r="A62" s="29" t="s">
        <v>191</v>
      </c>
      <c r="B62" s="5"/>
      <c r="C62" s="30" t="s">
        <v>192</v>
      </c>
      <c r="D62" s="31"/>
      <c r="E62" s="4"/>
      <c r="F62" s="5"/>
      <c r="G62" s="25"/>
      <c r="H62" s="32"/>
      <c r="I62" s="33"/>
      <c r="J62" s="33"/>
      <c r="K62" s="33"/>
      <c r="L62" s="26"/>
      <c r="M62" s="26"/>
      <c r="N62" s="26"/>
    </row>
    <row r="63" ht="21.75" hidden="1" customHeight="1">
      <c r="A63" s="27" t="s">
        <v>193</v>
      </c>
      <c r="B63" s="5"/>
      <c r="C63" s="30" t="s">
        <v>194</v>
      </c>
      <c r="D63" s="31"/>
      <c r="E63" s="4"/>
      <c r="F63" s="5"/>
      <c r="G63" s="25"/>
      <c r="H63" s="32"/>
      <c r="I63" s="33"/>
      <c r="J63" s="33"/>
      <c r="K63" s="33"/>
      <c r="L63" s="26"/>
      <c r="M63" s="26"/>
      <c r="N63" s="26"/>
    </row>
    <row r="64" ht="21.75" hidden="1" customHeight="1">
      <c r="A64" s="41"/>
      <c r="B64" s="30"/>
      <c r="C64" s="30"/>
      <c r="D64" s="42"/>
      <c r="E64" s="4"/>
      <c r="F64" s="5"/>
      <c r="G64" s="25"/>
      <c r="H64" s="32"/>
      <c r="I64" s="33"/>
      <c r="J64" s="33"/>
      <c r="K64" s="33"/>
      <c r="L64" s="26"/>
      <c r="M64" s="26"/>
      <c r="N64" s="26"/>
    </row>
    <row r="65" ht="31.5" hidden="1" customHeight="1">
      <c r="A65" s="43" t="s">
        <v>195</v>
      </c>
      <c r="B65" s="13"/>
      <c r="C65" s="44"/>
      <c r="D65" s="12"/>
      <c r="E65" s="20"/>
      <c r="F65" s="21"/>
      <c r="G65" s="45"/>
      <c r="H65" s="46"/>
      <c r="I65" s="47"/>
      <c r="J65" s="47"/>
      <c r="K65" s="48"/>
      <c r="L65" s="26"/>
      <c r="M65" s="26"/>
      <c r="N65" s="26"/>
    </row>
    <row r="66" ht="21.75" hidden="1" customHeight="1">
      <c r="A66" s="22" t="s">
        <v>196</v>
      </c>
      <c r="B66" s="22" t="s">
        <v>197</v>
      </c>
      <c r="C66" s="22" t="s">
        <v>197</v>
      </c>
      <c r="D66" s="32"/>
      <c r="E66" s="4">
        <v>126.0</v>
      </c>
      <c r="F66" s="5" t="s">
        <v>15</v>
      </c>
      <c r="G66" s="6"/>
      <c r="H66" s="37"/>
      <c r="I66" s="25">
        <v>8000.0</v>
      </c>
      <c r="J66" s="25"/>
      <c r="K66" s="9">
        <v>6000.0</v>
      </c>
      <c r="L66" s="26"/>
      <c r="M66" s="26"/>
      <c r="N66" s="26"/>
    </row>
    <row r="67" ht="21.75" hidden="1" customHeight="1">
      <c r="A67" s="22" t="s">
        <v>198</v>
      </c>
      <c r="B67" s="22" t="s">
        <v>199</v>
      </c>
      <c r="C67" s="22" t="s">
        <v>199</v>
      </c>
      <c r="D67" s="32"/>
      <c r="E67" s="4">
        <v>41.0</v>
      </c>
      <c r="F67" s="5" t="s">
        <v>15</v>
      </c>
      <c r="G67" s="6"/>
      <c r="H67" s="37"/>
      <c r="I67" s="25"/>
      <c r="J67" s="25"/>
      <c r="K67" s="9"/>
      <c r="L67" s="26"/>
      <c r="M67" s="26"/>
      <c r="N67" s="26"/>
    </row>
    <row r="68" ht="21.75" hidden="1" customHeight="1">
      <c r="A68" s="22" t="s">
        <v>200</v>
      </c>
      <c r="B68" s="27" t="s">
        <v>201</v>
      </c>
      <c r="C68" s="49" t="s">
        <v>202</v>
      </c>
      <c r="D68" s="3"/>
      <c r="E68" s="4">
        <v>10.0</v>
      </c>
      <c r="F68" s="5" t="s">
        <v>15</v>
      </c>
      <c r="G68" s="6"/>
      <c r="H68" s="7"/>
      <c r="I68" s="31"/>
      <c r="J68" s="31"/>
      <c r="K68" s="33"/>
      <c r="L68" s="26"/>
      <c r="M68" s="26"/>
      <c r="N68" s="26"/>
    </row>
    <row r="69" ht="21.75" hidden="1" customHeight="1">
      <c r="A69" s="22" t="s">
        <v>203</v>
      </c>
      <c r="B69" s="22" t="s">
        <v>204</v>
      </c>
      <c r="C69" s="27" t="s">
        <v>205</v>
      </c>
      <c r="D69" s="28" t="s">
        <v>206</v>
      </c>
      <c r="E69" s="4">
        <v>21.0</v>
      </c>
      <c r="F69" s="5" t="s">
        <v>15</v>
      </c>
      <c r="G69" s="6"/>
      <c r="H69" s="37"/>
      <c r="I69" s="25">
        <v>650.0</v>
      </c>
      <c r="J69" s="25"/>
      <c r="K69" s="9">
        <v>650.0</v>
      </c>
      <c r="L69" s="26"/>
      <c r="M69" s="26"/>
      <c r="N69" s="26"/>
    </row>
    <row r="70" ht="21.75" hidden="1" customHeight="1">
      <c r="A70" s="22" t="s">
        <v>207</v>
      </c>
      <c r="B70" s="22" t="s">
        <v>208</v>
      </c>
      <c r="C70" s="22" t="s">
        <v>208</v>
      </c>
      <c r="D70" s="22" t="s">
        <v>209</v>
      </c>
      <c r="E70" s="4"/>
      <c r="F70" s="5"/>
      <c r="G70" s="6"/>
      <c r="H70" s="37"/>
      <c r="I70" s="25">
        <v>2800.0</v>
      </c>
      <c r="J70" s="25"/>
      <c r="K70" s="9"/>
      <c r="L70" s="26"/>
      <c r="M70" s="26"/>
      <c r="N70" s="26"/>
    </row>
    <row r="71" ht="21.75" hidden="1" customHeight="1">
      <c r="A71" s="22" t="s">
        <v>210</v>
      </c>
      <c r="B71" s="22" t="s">
        <v>211</v>
      </c>
      <c r="C71" s="27"/>
      <c r="D71" s="22" t="s">
        <v>209</v>
      </c>
      <c r="E71" s="4"/>
      <c r="F71" s="5"/>
      <c r="G71" s="6"/>
      <c r="H71" s="37"/>
      <c r="I71" s="25"/>
      <c r="J71" s="25"/>
      <c r="K71" s="9"/>
      <c r="L71" s="26"/>
      <c r="M71" s="26"/>
      <c r="N71" s="26"/>
    </row>
    <row r="72" ht="21.75" hidden="1" customHeight="1">
      <c r="A72" s="22" t="s">
        <v>212</v>
      </c>
      <c r="B72" s="22" t="s">
        <v>213</v>
      </c>
      <c r="C72" s="27"/>
      <c r="D72" s="22" t="s">
        <v>209</v>
      </c>
      <c r="E72" s="4"/>
      <c r="F72" s="5"/>
      <c r="G72" s="6"/>
      <c r="H72" s="37"/>
      <c r="I72" s="25"/>
      <c r="J72" s="25"/>
      <c r="K72" s="9"/>
      <c r="L72" s="26"/>
      <c r="M72" s="26"/>
      <c r="N72" s="26"/>
    </row>
    <row r="73" ht="21.75" hidden="1" customHeight="1">
      <c r="A73" s="22" t="s">
        <v>212</v>
      </c>
      <c r="B73" s="22" t="s">
        <v>214</v>
      </c>
      <c r="C73" s="27"/>
      <c r="D73" s="22" t="s">
        <v>215</v>
      </c>
      <c r="E73" s="4"/>
      <c r="F73" s="5"/>
      <c r="G73" s="6"/>
      <c r="H73" s="37"/>
      <c r="I73" s="25"/>
      <c r="J73" s="25"/>
      <c r="K73" s="9"/>
      <c r="L73" s="26"/>
      <c r="M73" s="26"/>
      <c r="N73" s="26"/>
    </row>
    <row r="74" ht="21.75" hidden="1" customHeight="1">
      <c r="A74" s="22" t="s">
        <v>216</v>
      </c>
      <c r="B74" s="22" t="s">
        <v>217</v>
      </c>
      <c r="C74" s="27"/>
      <c r="D74" s="22" t="s">
        <v>215</v>
      </c>
      <c r="E74" s="4"/>
      <c r="F74" s="5"/>
      <c r="G74" s="6"/>
      <c r="H74" s="37"/>
      <c r="I74" s="25"/>
      <c r="J74" s="25"/>
      <c r="K74" s="9"/>
      <c r="L74" s="26"/>
      <c r="M74" s="26"/>
      <c r="N74" s="26"/>
    </row>
    <row r="75" ht="21.75" hidden="1" customHeight="1">
      <c r="A75" s="27"/>
      <c r="B75" s="22"/>
      <c r="C75" s="27"/>
      <c r="D75" s="32"/>
      <c r="E75" s="4"/>
      <c r="F75" s="5"/>
      <c r="G75" s="6"/>
      <c r="H75" s="37"/>
      <c r="I75" s="25"/>
      <c r="J75" s="50"/>
      <c r="K75" s="9"/>
      <c r="L75" s="26"/>
      <c r="M75" s="26"/>
      <c r="N75" s="26"/>
    </row>
    <row r="76" ht="31.5" hidden="1" customHeight="1">
      <c r="A76" s="43" t="s">
        <v>218</v>
      </c>
      <c r="B76" s="13"/>
      <c r="C76" s="11"/>
      <c r="D76" s="12"/>
      <c r="E76" s="20"/>
      <c r="F76" s="21"/>
      <c r="G76" s="14"/>
      <c r="H76" s="11"/>
      <c r="I76" s="15"/>
      <c r="J76" s="15"/>
      <c r="K76" s="16"/>
      <c r="L76" s="26"/>
      <c r="M76" s="26"/>
      <c r="N76" s="26"/>
    </row>
    <row r="77" ht="12.75" hidden="1" customHeight="1">
      <c r="A77" s="27" t="s">
        <v>219</v>
      </c>
      <c r="B77" s="22" t="s">
        <v>220</v>
      </c>
      <c r="C77" s="27" t="s">
        <v>221</v>
      </c>
      <c r="D77" s="51"/>
      <c r="E77" s="4"/>
      <c r="F77" s="5"/>
      <c r="G77" s="36" t="s">
        <v>222</v>
      </c>
      <c r="H77" s="52" t="s">
        <v>223</v>
      </c>
      <c r="I77" s="25">
        <v>680.0</v>
      </c>
      <c r="J77" s="50">
        <v>266.0</v>
      </c>
      <c r="K77" s="9">
        <v>350.0</v>
      </c>
      <c r="L77" s="26"/>
      <c r="M77" s="26"/>
      <c r="N77" s="26"/>
    </row>
    <row r="78" ht="12.75" hidden="1" customHeight="1">
      <c r="A78" s="27" t="s">
        <v>224</v>
      </c>
      <c r="B78" s="22" t="s">
        <v>225</v>
      </c>
      <c r="C78" s="27" t="s">
        <v>226</v>
      </c>
      <c r="D78" s="28"/>
      <c r="E78" s="4"/>
      <c r="F78" s="5"/>
      <c r="G78" s="36" t="s">
        <v>227</v>
      </c>
      <c r="H78" s="32"/>
      <c r="I78" s="25">
        <v>650.0</v>
      </c>
      <c r="J78" s="50">
        <v>257.0</v>
      </c>
      <c r="K78" s="9">
        <v>350.0</v>
      </c>
      <c r="L78" s="26"/>
      <c r="M78" s="26"/>
      <c r="N78" s="26"/>
    </row>
    <row r="79" ht="12.75" customHeight="1">
      <c r="A79" s="27" t="s">
        <v>228</v>
      </c>
      <c r="B79" s="22" t="s">
        <v>229</v>
      </c>
      <c r="C79" s="53" t="s">
        <v>230</v>
      </c>
      <c r="D79" s="28"/>
      <c r="E79" s="4">
        <v>416.0</v>
      </c>
      <c r="F79" s="5" t="s">
        <v>15</v>
      </c>
      <c r="G79" s="36" t="s">
        <v>231</v>
      </c>
      <c r="H79" s="54" t="s">
        <v>232</v>
      </c>
      <c r="I79" s="25">
        <v>650.0</v>
      </c>
      <c r="J79" s="50">
        <v>248.0</v>
      </c>
      <c r="K79" s="9">
        <v>450.0</v>
      </c>
      <c r="L79" s="26"/>
      <c r="M79" s="26"/>
      <c r="N79" s="26"/>
    </row>
    <row r="80" ht="12.75" hidden="1" customHeight="1">
      <c r="A80" s="53" t="s">
        <v>233</v>
      </c>
      <c r="B80" s="22" t="s">
        <v>234</v>
      </c>
      <c r="C80" s="53" t="s">
        <v>235</v>
      </c>
      <c r="D80" s="28"/>
      <c r="E80" s="4"/>
      <c r="F80" s="5"/>
      <c r="G80" s="36" t="s">
        <v>231</v>
      </c>
      <c r="H80" s="54" t="s">
        <v>232</v>
      </c>
      <c r="I80" s="25">
        <v>650.0</v>
      </c>
      <c r="J80" s="50">
        <v>248.0</v>
      </c>
      <c r="K80" s="9"/>
      <c r="L80" s="26"/>
      <c r="M80" s="26"/>
      <c r="N80" s="26"/>
    </row>
    <row r="81" ht="21.75" hidden="1" customHeight="1">
      <c r="A81" s="27"/>
      <c r="B81" s="55"/>
      <c r="C81" s="27"/>
      <c r="D81" s="32"/>
      <c r="E81" s="4"/>
      <c r="F81" s="5"/>
      <c r="G81" s="6"/>
      <c r="H81" s="37"/>
      <c r="I81" s="25"/>
      <c r="J81" s="50"/>
      <c r="K81" s="9"/>
      <c r="L81" s="26"/>
      <c r="M81" s="26"/>
      <c r="N81" s="26"/>
    </row>
    <row r="82" ht="31.5" hidden="1" customHeight="1">
      <c r="A82" s="43" t="s">
        <v>236</v>
      </c>
      <c r="B82" s="13"/>
      <c r="C82" s="11"/>
      <c r="D82" s="12"/>
      <c r="E82" s="20"/>
      <c r="F82" s="21"/>
      <c r="G82" s="14"/>
      <c r="H82" s="11"/>
      <c r="I82" s="15"/>
      <c r="J82" s="15"/>
      <c r="K82" s="16"/>
      <c r="L82" s="26"/>
      <c r="M82" s="26"/>
      <c r="N82" s="26"/>
    </row>
    <row r="83" ht="21.75" customHeight="1">
      <c r="A83" s="11" t="s">
        <v>0</v>
      </c>
      <c r="B83" s="11" t="s">
        <v>1</v>
      </c>
      <c r="C83" s="11" t="s">
        <v>2</v>
      </c>
      <c r="D83" s="12" t="s">
        <v>3</v>
      </c>
      <c r="E83" s="11" t="s">
        <v>4</v>
      </c>
      <c r="F83" s="13"/>
      <c r="G83" s="14" t="s">
        <v>5</v>
      </c>
      <c r="H83" s="11" t="s">
        <v>6</v>
      </c>
      <c r="I83" s="15" t="s">
        <v>7</v>
      </c>
      <c r="J83" s="15" t="s">
        <v>8</v>
      </c>
      <c r="K83" s="16" t="s">
        <v>9</v>
      </c>
      <c r="L83" s="17"/>
      <c r="M83" s="17"/>
      <c r="N83" s="17"/>
    </row>
    <row r="84" ht="12.75" hidden="1" customHeight="1">
      <c r="A84" s="27" t="s">
        <v>237</v>
      </c>
      <c r="B84" s="22" t="s">
        <v>238</v>
      </c>
      <c r="C84" s="27" t="s">
        <v>239</v>
      </c>
      <c r="D84" s="28"/>
      <c r="E84" s="4"/>
      <c r="F84" s="5"/>
      <c r="G84" s="9">
        <v>200.0</v>
      </c>
      <c r="H84" s="52" t="s">
        <v>240</v>
      </c>
      <c r="I84" s="25"/>
      <c r="J84" s="50"/>
      <c r="K84" s="9"/>
      <c r="L84" s="26"/>
      <c r="M84" s="26"/>
      <c r="N84" s="26"/>
    </row>
    <row r="85" ht="12.75" hidden="1" customHeight="1">
      <c r="A85" s="27" t="s">
        <v>241</v>
      </c>
      <c r="B85" s="22" t="s">
        <v>242</v>
      </c>
      <c r="C85" s="27" t="s">
        <v>243</v>
      </c>
      <c r="D85" s="28"/>
      <c r="E85" s="4"/>
      <c r="F85" s="5"/>
      <c r="G85" s="36" t="s">
        <v>244</v>
      </c>
      <c r="H85" s="52" t="s">
        <v>245</v>
      </c>
      <c r="I85" s="25"/>
      <c r="J85" s="50">
        <v>193.0</v>
      </c>
      <c r="K85" s="9"/>
      <c r="L85" s="26"/>
      <c r="M85" s="26"/>
      <c r="N85" s="26"/>
    </row>
    <row r="86" ht="21.75" hidden="1" customHeight="1">
      <c r="A86" s="2"/>
      <c r="B86" s="2"/>
      <c r="C86" s="2"/>
      <c r="D86" s="3"/>
      <c r="E86" s="4"/>
      <c r="F86" s="5"/>
      <c r="G86" s="6"/>
      <c r="H86" s="7"/>
      <c r="I86" s="8"/>
      <c r="J86" s="9"/>
      <c r="K86" s="9"/>
      <c r="L86" s="26"/>
      <c r="M86" s="26"/>
      <c r="N86" s="26"/>
    </row>
    <row r="87" ht="31.5" hidden="1" customHeight="1">
      <c r="A87" s="43" t="s">
        <v>246</v>
      </c>
      <c r="B87" s="13"/>
      <c r="C87" s="11"/>
      <c r="D87" s="12"/>
      <c r="E87" s="20"/>
      <c r="F87" s="21"/>
      <c r="G87" s="14"/>
      <c r="H87" s="56"/>
      <c r="I87" s="15"/>
      <c r="J87" s="15"/>
      <c r="K87" s="16"/>
      <c r="L87" s="26"/>
      <c r="M87" s="26"/>
      <c r="N87" s="26"/>
    </row>
    <row r="88" ht="21.75" customHeight="1">
      <c r="A88" s="11" t="s">
        <v>0</v>
      </c>
      <c r="B88" s="11" t="s">
        <v>1</v>
      </c>
      <c r="C88" s="11" t="s">
        <v>2</v>
      </c>
      <c r="D88" s="12" t="s">
        <v>3</v>
      </c>
      <c r="E88" s="11" t="s">
        <v>4</v>
      </c>
      <c r="F88" s="13"/>
      <c r="G88" s="14" t="s">
        <v>5</v>
      </c>
      <c r="H88" s="11" t="s">
        <v>6</v>
      </c>
      <c r="I88" s="15" t="s">
        <v>7</v>
      </c>
      <c r="J88" s="15" t="s">
        <v>8</v>
      </c>
      <c r="K88" s="16" t="s">
        <v>9</v>
      </c>
      <c r="L88" s="17"/>
      <c r="M88" s="17"/>
      <c r="N88" s="17"/>
    </row>
    <row r="89" ht="21.75" hidden="1" customHeight="1">
      <c r="A89" s="22" t="s">
        <v>247</v>
      </c>
      <c r="B89" s="22" t="s">
        <v>248</v>
      </c>
      <c r="C89" s="27" t="s">
        <v>249</v>
      </c>
      <c r="D89" s="32"/>
      <c r="E89" s="4"/>
      <c r="F89" s="5"/>
      <c r="G89" s="25">
        <v>935.0</v>
      </c>
      <c r="H89" s="51" t="s">
        <v>250</v>
      </c>
      <c r="I89" s="25">
        <v>1438.0</v>
      </c>
      <c r="J89" s="25">
        <f t="shared" ref="J89:J101" si="1">G89*11/12</f>
        <v>857.0833333</v>
      </c>
      <c r="K89" s="9"/>
      <c r="L89" s="26"/>
      <c r="M89" s="26"/>
      <c r="N89" s="26"/>
    </row>
    <row r="90" ht="21.75" hidden="1" customHeight="1">
      <c r="A90" s="38" t="s">
        <v>251</v>
      </c>
      <c r="B90" s="38" t="s">
        <v>252</v>
      </c>
      <c r="C90" s="27" t="s">
        <v>253</v>
      </c>
      <c r="D90" s="32"/>
      <c r="E90" s="4"/>
      <c r="F90" s="5"/>
      <c r="G90" s="25">
        <v>440.0</v>
      </c>
      <c r="H90" s="51" t="s">
        <v>254</v>
      </c>
      <c r="I90" s="25">
        <v>800.0</v>
      </c>
      <c r="J90" s="25">
        <f t="shared" si="1"/>
        <v>403.3333333</v>
      </c>
      <c r="K90" s="9"/>
      <c r="L90" s="26"/>
      <c r="M90" s="26"/>
      <c r="N90" s="26"/>
    </row>
    <row r="91" ht="21.75" customHeight="1">
      <c r="A91" s="53" t="s">
        <v>255</v>
      </c>
      <c r="B91" s="53" t="s">
        <v>256</v>
      </c>
      <c r="C91" s="27" t="s">
        <v>257</v>
      </c>
      <c r="D91" s="57"/>
      <c r="E91" s="4">
        <v>456.0</v>
      </c>
      <c r="F91" s="5" t="s">
        <v>15</v>
      </c>
      <c r="G91" s="25">
        <v>460.0</v>
      </c>
      <c r="H91" s="51" t="s">
        <v>254</v>
      </c>
      <c r="I91" s="25">
        <v>850.0</v>
      </c>
      <c r="J91" s="25">
        <f t="shared" si="1"/>
        <v>421.6666667</v>
      </c>
      <c r="K91" s="9"/>
      <c r="L91" s="26"/>
      <c r="M91" s="26"/>
      <c r="N91" s="26"/>
    </row>
    <row r="92" ht="21.75" hidden="1" customHeight="1">
      <c r="A92" s="22" t="s">
        <v>258</v>
      </c>
      <c r="B92" s="22" t="s">
        <v>259</v>
      </c>
      <c r="C92" s="27" t="s">
        <v>260</v>
      </c>
      <c r="D92" s="32"/>
      <c r="E92" s="4"/>
      <c r="F92" s="5"/>
      <c r="G92" s="25">
        <v>700.0</v>
      </c>
      <c r="H92" s="51" t="s">
        <v>250</v>
      </c>
      <c r="I92" s="25">
        <v>1380.0</v>
      </c>
      <c r="J92" s="25">
        <f t="shared" si="1"/>
        <v>641.6666667</v>
      </c>
      <c r="K92" s="9"/>
      <c r="L92" s="26"/>
      <c r="M92" s="26"/>
      <c r="N92" s="26"/>
    </row>
    <row r="93" ht="21.75" customHeight="1">
      <c r="A93" s="53" t="s">
        <v>261</v>
      </c>
      <c r="B93" s="53" t="s">
        <v>262</v>
      </c>
      <c r="C93" s="27" t="s">
        <v>263</v>
      </c>
      <c r="D93" s="57"/>
      <c r="E93" s="4">
        <v>329.0</v>
      </c>
      <c r="F93" s="5" t="s">
        <v>15</v>
      </c>
      <c r="G93" s="25">
        <v>560.0</v>
      </c>
      <c r="H93" s="51" t="s">
        <v>254</v>
      </c>
      <c r="I93" s="25">
        <v>1080.0</v>
      </c>
      <c r="J93" s="25">
        <f t="shared" si="1"/>
        <v>513.3333333</v>
      </c>
      <c r="K93" s="9"/>
      <c r="L93" s="26"/>
      <c r="M93" s="26"/>
      <c r="N93" s="26"/>
    </row>
    <row r="94" ht="21.75" customHeight="1">
      <c r="A94" s="53" t="s">
        <v>264</v>
      </c>
      <c r="B94" s="53" t="s">
        <v>265</v>
      </c>
      <c r="C94" s="27" t="s">
        <v>266</v>
      </c>
      <c r="D94" s="57"/>
      <c r="E94" s="4">
        <v>176.0</v>
      </c>
      <c r="F94" s="5" t="s">
        <v>15</v>
      </c>
      <c r="G94" s="25">
        <v>680.0</v>
      </c>
      <c r="H94" s="51" t="s">
        <v>254</v>
      </c>
      <c r="I94" s="25">
        <v>1380.0</v>
      </c>
      <c r="J94" s="25">
        <f t="shared" si="1"/>
        <v>623.3333333</v>
      </c>
      <c r="K94" s="9"/>
      <c r="L94" s="26"/>
      <c r="M94" s="26"/>
      <c r="N94" s="26"/>
    </row>
    <row r="95" ht="21.75" customHeight="1">
      <c r="A95" s="53" t="s">
        <v>267</v>
      </c>
      <c r="B95" s="53" t="s">
        <v>268</v>
      </c>
      <c r="C95" s="27" t="s">
        <v>269</v>
      </c>
      <c r="D95" s="57"/>
      <c r="E95" s="4">
        <v>217.0</v>
      </c>
      <c r="F95" s="5" t="s">
        <v>15</v>
      </c>
      <c r="G95" s="25">
        <v>670.0</v>
      </c>
      <c r="H95" s="51" t="s">
        <v>254</v>
      </c>
      <c r="I95" s="25">
        <v>1280.0</v>
      </c>
      <c r="J95" s="25">
        <f t="shared" si="1"/>
        <v>614.1666667</v>
      </c>
      <c r="K95" s="9"/>
      <c r="L95" s="26"/>
      <c r="M95" s="26"/>
      <c r="N95" s="26"/>
    </row>
    <row r="96" ht="21.75" customHeight="1">
      <c r="A96" s="5" t="s">
        <v>270</v>
      </c>
      <c r="B96" s="5" t="s">
        <v>271</v>
      </c>
      <c r="C96" s="5" t="s">
        <v>272</v>
      </c>
      <c r="D96" s="3"/>
      <c r="E96" s="4">
        <v>10.0</v>
      </c>
      <c r="F96" s="5" t="s">
        <v>15</v>
      </c>
      <c r="G96" s="25">
        <v>510.0</v>
      </c>
      <c r="H96" s="51" t="s">
        <v>254</v>
      </c>
      <c r="I96" s="50">
        <v>950.0</v>
      </c>
      <c r="J96" s="25">
        <f t="shared" si="1"/>
        <v>467.5</v>
      </c>
      <c r="K96" s="58"/>
      <c r="L96" s="26"/>
      <c r="M96" s="26"/>
      <c r="N96" s="26"/>
    </row>
    <row r="97" ht="21.75" hidden="1" customHeight="1">
      <c r="A97" s="5" t="s">
        <v>273</v>
      </c>
      <c r="B97" s="5" t="s">
        <v>274</v>
      </c>
      <c r="C97" s="5" t="s">
        <v>275</v>
      </c>
      <c r="D97" s="3"/>
      <c r="E97" s="4"/>
      <c r="F97" s="5"/>
      <c r="G97" s="25">
        <v>620.0</v>
      </c>
      <c r="H97" s="51" t="s">
        <v>254</v>
      </c>
      <c r="I97" s="50">
        <v>1200.0</v>
      </c>
      <c r="J97" s="25">
        <f t="shared" si="1"/>
        <v>568.3333333</v>
      </c>
      <c r="K97" s="58"/>
      <c r="L97" s="26"/>
      <c r="M97" s="26"/>
      <c r="N97" s="26"/>
    </row>
    <row r="98" ht="21.75" hidden="1" customHeight="1">
      <c r="A98" s="38" t="s">
        <v>276</v>
      </c>
      <c r="B98" s="27" t="s">
        <v>277</v>
      </c>
      <c r="C98" s="27" t="s">
        <v>278</v>
      </c>
      <c r="D98" s="32"/>
      <c r="E98" s="4"/>
      <c r="F98" s="5"/>
      <c r="G98" s="25">
        <v>450.0</v>
      </c>
      <c r="H98" s="51" t="s">
        <v>279</v>
      </c>
      <c r="I98" s="25">
        <v>950.0</v>
      </c>
      <c r="J98" s="25">
        <f t="shared" si="1"/>
        <v>412.5</v>
      </c>
      <c r="K98" s="9"/>
      <c r="L98" s="26"/>
      <c r="M98" s="26"/>
      <c r="N98" s="26"/>
    </row>
    <row r="99" ht="21.75" hidden="1" customHeight="1">
      <c r="A99" s="53" t="s">
        <v>280</v>
      </c>
      <c r="B99" s="53" t="s">
        <v>281</v>
      </c>
      <c r="C99" s="27" t="s">
        <v>282</v>
      </c>
      <c r="D99" s="32"/>
      <c r="E99" s="4"/>
      <c r="F99" s="5"/>
      <c r="G99" s="25">
        <v>385.0</v>
      </c>
      <c r="H99" s="51" t="s">
        <v>254</v>
      </c>
      <c r="I99" s="25">
        <v>750.0</v>
      </c>
      <c r="J99" s="25">
        <f t="shared" si="1"/>
        <v>352.9166667</v>
      </c>
      <c r="K99" s="9"/>
      <c r="L99" s="26"/>
      <c r="M99" s="26"/>
      <c r="N99" s="26"/>
    </row>
    <row r="100" ht="12.75" hidden="1" customHeight="1">
      <c r="A100" s="38" t="s">
        <v>283</v>
      </c>
      <c r="B100" s="53" t="s">
        <v>284</v>
      </c>
      <c r="C100" s="27" t="s">
        <v>285</v>
      </c>
      <c r="D100" s="52" t="s">
        <v>286</v>
      </c>
      <c r="E100" s="4"/>
      <c r="F100" s="5"/>
      <c r="G100" s="25">
        <v>460.0</v>
      </c>
      <c r="H100" s="51" t="s">
        <v>254</v>
      </c>
      <c r="I100" s="25">
        <v>850.0</v>
      </c>
      <c r="J100" s="25">
        <f t="shared" si="1"/>
        <v>421.6666667</v>
      </c>
      <c r="K100" s="59" t="s">
        <v>287</v>
      </c>
      <c r="L100" s="26"/>
      <c r="M100" s="26"/>
      <c r="N100" s="26"/>
    </row>
    <row r="101" ht="21.75" hidden="1" customHeight="1">
      <c r="A101" s="38" t="s">
        <v>288</v>
      </c>
      <c r="B101" s="27" t="s">
        <v>289</v>
      </c>
      <c r="C101" s="53" t="s">
        <v>290</v>
      </c>
      <c r="D101" s="32"/>
      <c r="E101" s="4"/>
      <c r="F101" s="5"/>
      <c r="G101" s="25">
        <v>300.0</v>
      </c>
      <c r="H101" s="51" t="s">
        <v>254</v>
      </c>
      <c r="I101" s="25">
        <v>650.0</v>
      </c>
      <c r="J101" s="25">
        <f t="shared" si="1"/>
        <v>275</v>
      </c>
      <c r="K101" s="9"/>
      <c r="L101" s="26"/>
      <c r="M101" s="26"/>
      <c r="N101" s="26"/>
    </row>
    <row r="102" ht="21.75" customHeight="1">
      <c r="A102" s="53" t="s">
        <v>291</v>
      </c>
      <c r="B102" s="60" t="s">
        <v>292</v>
      </c>
      <c r="C102" s="27" t="s">
        <v>293</v>
      </c>
      <c r="D102" s="3"/>
      <c r="E102" s="4">
        <v>420.0</v>
      </c>
      <c r="F102" s="5" t="s">
        <v>15</v>
      </c>
      <c r="G102" s="25">
        <v>440.0</v>
      </c>
      <c r="H102" s="51" t="s">
        <v>254</v>
      </c>
      <c r="I102" s="25">
        <v>800.0</v>
      </c>
      <c r="J102" s="25">
        <v>394.0</v>
      </c>
      <c r="K102" s="9"/>
      <c r="L102" s="26"/>
      <c r="M102" s="26"/>
      <c r="N102" s="26"/>
    </row>
    <row r="103" ht="12.75" hidden="1" customHeight="1">
      <c r="A103" s="53" t="s">
        <v>294</v>
      </c>
      <c r="B103" s="53" t="s">
        <v>295</v>
      </c>
      <c r="C103" s="27" t="s">
        <v>296</v>
      </c>
      <c r="D103" s="32"/>
      <c r="E103" s="4"/>
      <c r="F103" s="5"/>
      <c r="G103" s="25">
        <v>410.0</v>
      </c>
      <c r="H103" s="51" t="s">
        <v>254</v>
      </c>
      <c r="I103" s="25">
        <v>750.0</v>
      </c>
      <c r="J103" s="25">
        <f>G103*11/12</f>
        <v>375.8333333</v>
      </c>
      <c r="K103" s="59" t="s">
        <v>297</v>
      </c>
      <c r="L103" s="26"/>
      <c r="M103" s="26"/>
      <c r="N103" s="26"/>
    </row>
    <row r="104" ht="12.75" hidden="1" customHeight="1">
      <c r="A104" s="53" t="s">
        <v>298</v>
      </c>
      <c r="B104" s="53" t="s">
        <v>299</v>
      </c>
      <c r="C104" s="27" t="s">
        <v>300</v>
      </c>
      <c r="D104" s="61">
        <v>0.15</v>
      </c>
      <c r="E104" s="4"/>
      <c r="F104" s="5"/>
      <c r="G104" s="25">
        <v>320.0</v>
      </c>
      <c r="H104" s="62" t="s">
        <v>301</v>
      </c>
      <c r="I104" s="25">
        <v>680.0</v>
      </c>
      <c r="J104" s="25">
        <v>260.0</v>
      </c>
      <c r="K104" s="9"/>
      <c r="L104" s="26"/>
      <c r="M104" s="26"/>
      <c r="N104" s="26"/>
    </row>
    <row r="105" ht="12.75" customHeight="1">
      <c r="A105" s="53" t="s">
        <v>302</v>
      </c>
      <c r="B105" s="53" t="s">
        <v>303</v>
      </c>
      <c r="C105" s="27" t="s">
        <v>304</v>
      </c>
      <c r="D105" s="61">
        <v>0.14</v>
      </c>
      <c r="E105" s="4">
        <v>2652.0</v>
      </c>
      <c r="F105" s="5" t="s">
        <v>15</v>
      </c>
      <c r="G105" s="25">
        <v>320.0</v>
      </c>
      <c r="H105" s="62" t="s">
        <v>305</v>
      </c>
      <c r="I105" s="25"/>
      <c r="J105" s="25"/>
      <c r="K105" s="9"/>
      <c r="L105" s="26"/>
      <c r="M105" s="26"/>
      <c r="N105" s="26"/>
    </row>
    <row r="106" ht="12.75" customHeight="1">
      <c r="A106" s="53" t="s">
        <v>306</v>
      </c>
      <c r="B106" s="53" t="s">
        <v>307</v>
      </c>
      <c r="C106" s="27" t="s">
        <v>308</v>
      </c>
      <c r="D106" s="61">
        <v>0.14</v>
      </c>
      <c r="E106" s="4">
        <v>678.0</v>
      </c>
      <c r="F106" s="5" t="s">
        <v>15</v>
      </c>
      <c r="G106" s="25">
        <v>320.0</v>
      </c>
      <c r="H106" s="62" t="s">
        <v>305</v>
      </c>
      <c r="I106" s="25">
        <v>680.0</v>
      </c>
      <c r="J106" s="25">
        <v>260.0</v>
      </c>
      <c r="K106" s="9"/>
      <c r="L106" s="26"/>
      <c r="M106" s="26"/>
      <c r="N106" s="26"/>
    </row>
    <row r="107" ht="12.75" hidden="1" customHeight="1">
      <c r="A107" s="53" t="s">
        <v>309</v>
      </c>
      <c r="B107" s="53" t="s">
        <v>310</v>
      </c>
      <c r="C107" s="27" t="s">
        <v>311</v>
      </c>
      <c r="D107" s="61">
        <v>0.15</v>
      </c>
      <c r="E107" s="4"/>
      <c r="F107" s="5"/>
      <c r="G107" s="25">
        <v>320.0</v>
      </c>
      <c r="H107" s="62" t="s">
        <v>301</v>
      </c>
      <c r="I107" s="25">
        <v>680.0</v>
      </c>
      <c r="J107" s="25">
        <v>260.0</v>
      </c>
      <c r="K107" s="9"/>
      <c r="L107" s="26"/>
      <c r="M107" s="26"/>
      <c r="N107" s="26"/>
    </row>
    <row r="108" ht="12.75" hidden="1" customHeight="1">
      <c r="A108" s="53" t="s">
        <v>312</v>
      </c>
      <c r="B108" s="53" t="s">
        <v>313</v>
      </c>
      <c r="C108" s="27" t="s">
        <v>314</v>
      </c>
      <c r="D108" s="61">
        <v>0.15</v>
      </c>
      <c r="E108" s="4"/>
      <c r="F108" s="5"/>
      <c r="G108" s="25">
        <v>320.0</v>
      </c>
      <c r="H108" s="62" t="s">
        <v>301</v>
      </c>
      <c r="I108" s="25">
        <v>680.0</v>
      </c>
      <c r="J108" s="25">
        <v>260.0</v>
      </c>
      <c r="K108" s="9"/>
      <c r="L108" s="26"/>
      <c r="M108" s="26"/>
      <c r="N108" s="26"/>
    </row>
    <row r="109" ht="12.75" customHeight="1">
      <c r="A109" s="53" t="s">
        <v>315</v>
      </c>
      <c r="B109" s="53" t="s">
        <v>316</v>
      </c>
      <c r="C109" s="27" t="s">
        <v>314</v>
      </c>
      <c r="D109" s="61">
        <v>0.14</v>
      </c>
      <c r="E109" s="4">
        <v>4030.0</v>
      </c>
      <c r="F109" s="5" t="s">
        <v>15</v>
      </c>
      <c r="G109" s="25">
        <v>320.0</v>
      </c>
      <c r="H109" s="62" t="s">
        <v>305</v>
      </c>
      <c r="I109" s="25"/>
      <c r="J109" s="25"/>
      <c r="K109" s="9"/>
      <c r="L109" s="26"/>
      <c r="M109" s="26"/>
      <c r="N109" s="26"/>
    </row>
    <row r="110" ht="21.75" hidden="1" customHeight="1">
      <c r="A110" s="22" t="s">
        <v>317</v>
      </c>
      <c r="B110" s="22" t="s">
        <v>318</v>
      </c>
      <c r="C110" s="27" t="s">
        <v>319</v>
      </c>
      <c r="D110" s="32"/>
      <c r="E110" s="4"/>
      <c r="F110" s="5"/>
      <c r="G110" s="25">
        <v>470.0</v>
      </c>
      <c r="H110" s="51" t="s">
        <v>254</v>
      </c>
      <c r="I110" s="50">
        <v>850.0</v>
      </c>
      <c r="J110" s="25">
        <f t="shared" ref="J110:J116" si="2">G110*11/12</f>
        <v>430.8333333</v>
      </c>
      <c r="K110" s="9"/>
      <c r="L110" s="26"/>
      <c r="M110" s="26"/>
      <c r="N110" s="26"/>
    </row>
    <row r="111" ht="21.75" customHeight="1">
      <c r="A111" s="53" t="s">
        <v>320</v>
      </c>
      <c r="B111" s="53" t="s">
        <v>321</v>
      </c>
      <c r="C111" s="27" t="s">
        <v>322</v>
      </c>
      <c r="D111" s="57"/>
      <c r="E111" s="4">
        <v>108.0</v>
      </c>
      <c r="F111" s="5" t="s">
        <v>15</v>
      </c>
      <c r="G111" s="25">
        <v>470.0</v>
      </c>
      <c r="H111" s="51" t="s">
        <v>254</v>
      </c>
      <c r="I111" s="25">
        <v>850.0</v>
      </c>
      <c r="J111" s="25">
        <f t="shared" si="2"/>
        <v>430.8333333</v>
      </c>
      <c r="K111" s="9"/>
      <c r="L111" s="26"/>
      <c r="M111" s="26"/>
      <c r="N111" s="26"/>
    </row>
    <row r="112" ht="21.75" customHeight="1">
      <c r="A112" s="53" t="s">
        <v>323</v>
      </c>
      <c r="B112" s="53" t="s">
        <v>324</v>
      </c>
      <c r="C112" s="27" t="s">
        <v>325</v>
      </c>
      <c r="D112" s="57"/>
      <c r="E112" s="4">
        <v>1050.0</v>
      </c>
      <c r="F112" s="5" t="s">
        <v>15</v>
      </c>
      <c r="G112" s="25">
        <v>395.0</v>
      </c>
      <c r="H112" s="51" t="s">
        <v>254</v>
      </c>
      <c r="I112" s="25">
        <v>720.0</v>
      </c>
      <c r="J112" s="25">
        <f t="shared" si="2"/>
        <v>362.0833333</v>
      </c>
      <c r="K112" s="9"/>
      <c r="L112" s="26"/>
      <c r="M112" s="26"/>
      <c r="N112" s="26"/>
    </row>
    <row r="113" ht="21.75" customHeight="1">
      <c r="A113" s="53" t="s">
        <v>326</v>
      </c>
      <c r="B113" s="53" t="s">
        <v>327</v>
      </c>
      <c r="C113" s="27" t="s">
        <v>328</v>
      </c>
      <c r="D113" s="57"/>
      <c r="E113" s="4">
        <v>388.0</v>
      </c>
      <c r="F113" s="5" t="s">
        <v>15</v>
      </c>
      <c r="G113" s="25">
        <v>435.0</v>
      </c>
      <c r="H113" s="51" t="s">
        <v>254</v>
      </c>
      <c r="I113" s="25">
        <v>800.0</v>
      </c>
      <c r="J113" s="25">
        <f t="shared" si="2"/>
        <v>398.75</v>
      </c>
      <c r="K113" s="9"/>
      <c r="L113" s="26"/>
      <c r="M113" s="26"/>
      <c r="N113" s="26"/>
    </row>
    <row r="114" ht="21.75" hidden="1" customHeight="1">
      <c r="A114" s="38" t="s">
        <v>329</v>
      </c>
      <c r="B114" s="27" t="s">
        <v>330</v>
      </c>
      <c r="C114" s="27" t="s">
        <v>331</v>
      </c>
      <c r="D114" s="32"/>
      <c r="E114" s="4"/>
      <c r="F114" s="5"/>
      <c r="G114" s="25">
        <v>460.0</v>
      </c>
      <c r="H114" s="51" t="s">
        <v>254</v>
      </c>
      <c r="I114" s="25">
        <v>950.0</v>
      </c>
      <c r="J114" s="25">
        <f t="shared" si="2"/>
        <v>421.6666667</v>
      </c>
      <c r="K114" s="9"/>
      <c r="L114" s="26"/>
      <c r="M114" s="26"/>
      <c r="N114" s="26"/>
    </row>
    <row r="115" ht="21.75" customHeight="1">
      <c r="A115" s="53" t="s">
        <v>332</v>
      </c>
      <c r="B115" s="53" t="s">
        <v>333</v>
      </c>
      <c r="C115" s="27" t="s">
        <v>334</v>
      </c>
      <c r="D115" s="57"/>
      <c r="E115" s="4">
        <v>240.0</v>
      </c>
      <c r="F115" s="5" t="s">
        <v>15</v>
      </c>
      <c r="G115" s="25">
        <v>435.0</v>
      </c>
      <c r="H115" s="51" t="s">
        <v>254</v>
      </c>
      <c r="I115" s="25">
        <v>800.0</v>
      </c>
      <c r="J115" s="25">
        <f t="shared" si="2"/>
        <v>398.75</v>
      </c>
      <c r="K115" s="9"/>
      <c r="L115" s="26"/>
      <c r="M115" s="26"/>
      <c r="N115" s="26"/>
    </row>
    <row r="116" ht="21.75" customHeight="1">
      <c r="A116" s="53" t="s">
        <v>335</v>
      </c>
      <c r="B116" s="53" t="s">
        <v>336</v>
      </c>
      <c r="C116" s="27" t="s">
        <v>337</v>
      </c>
      <c r="D116" s="57"/>
      <c r="E116" s="4">
        <v>231.0</v>
      </c>
      <c r="F116" s="5" t="s">
        <v>15</v>
      </c>
      <c r="G116" s="25">
        <v>380.0</v>
      </c>
      <c r="H116" s="51" t="s">
        <v>254</v>
      </c>
      <c r="I116" s="25">
        <v>700.0</v>
      </c>
      <c r="J116" s="25">
        <f t="shared" si="2"/>
        <v>348.3333333</v>
      </c>
      <c r="K116" s="9"/>
      <c r="L116" s="26"/>
      <c r="M116" s="26"/>
      <c r="N116" s="26"/>
    </row>
    <row r="117" ht="21.75" hidden="1" customHeight="1">
      <c r="A117" s="53"/>
      <c r="B117" s="53"/>
      <c r="C117" s="27"/>
      <c r="D117" s="32"/>
      <c r="E117" s="4"/>
      <c r="F117" s="5"/>
      <c r="G117" s="25"/>
      <c r="H117" s="51"/>
      <c r="I117" s="25"/>
      <c r="J117" s="25"/>
      <c r="K117" s="9"/>
      <c r="L117" s="26"/>
      <c r="M117" s="26"/>
      <c r="N117" s="26"/>
    </row>
    <row r="118" ht="31.5" hidden="1" customHeight="1">
      <c r="A118" s="63" t="s">
        <v>338</v>
      </c>
      <c r="B118" s="13"/>
      <c r="C118" s="56"/>
      <c r="D118" s="64"/>
      <c r="E118" s="65"/>
      <c r="F118" s="66"/>
      <c r="G118" s="14"/>
      <c r="H118" s="56"/>
      <c r="I118" s="15"/>
      <c r="J118" s="15"/>
      <c r="K118" s="15"/>
      <c r="L118" s="67"/>
      <c r="M118" s="67"/>
      <c r="N118" s="67"/>
    </row>
    <row r="119" ht="21.75" customHeight="1">
      <c r="A119" s="11" t="s">
        <v>0</v>
      </c>
      <c r="B119" s="11" t="s">
        <v>1</v>
      </c>
      <c r="C119" s="11" t="s">
        <v>2</v>
      </c>
      <c r="D119" s="12" t="s">
        <v>3</v>
      </c>
      <c r="E119" s="11" t="s">
        <v>4</v>
      </c>
      <c r="F119" s="13"/>
      <c r="G119" s="14" t="s">
        <v>5</v>
      </c>
      <c r="H119" s="11" t="s">
        <v>6</v>
      </c>
      <c r="I119" s="15" t="s">
        <v>7</v>
      </c>
      <c r="J119" s="15" t="s">
        <v>8</v>
      </c>
      <c r="K119" s="16" t="s">
        <v>9</v>
      </c>
      <c r="L119" s="17"/>
      <c r="M119" s="17"/>
      <c r="N119" s="17"/>
    </row>
    <row r="120" ht="21.75" hidden="1" customHeight="1">
      <c r="A120" s="38" t="s">
        <v>339</v>
      </c>
      <c r="B120" s="38" t="s">
        <v>340</v>
      </c>
      <c r="C120" s="22" t="s">
        <v>341</v>
      </c>
      <c r="D120" s="68" t="s">
        <v>342</v>
      </c>
      <c r="E120" s="69"/>
      <c r="F120" s="29"/>
      <c r="G120" s="25">
        <v>1420.0</v>
      </c>
      <c r="H120" s="51" t="s">
        <v>254</v>
      </c>
      <c r="I120" s="25">
        <v>2880.0</v>
      </c>
      <c r="J120" s="25">
        <f t="shared" ref="J120:J121" si="3">G120*11/12</f>
        <v>1301.666667</v>
      </c>
      <c r="K120" s="25"/>
      <c r="L120" s="67"/>
      <c r="M120" s="67"/>
      <c r="N120" s="67"/>
    </row>
    <row r="121" ht="21.75" customHeight="1">
      <c r="A121" s="53" t="s">
        <v>343</v>
      </c>
      <c r="B121" s="53" t="s">
        <v>344</v>
      </c>
      <c r="C121" s="27" t="s">
        <v>345</v>
      </c>
      <c r="D121" s="32"/>
      <c r="E121" s="4">
        <v>24.0</v>
      </c>
      <c r="F121" s="5" t="s">
        <v>15</v>
      </c>
      <c r="G121" s="25">
        <v>640.0</v>
      </c>
      <c r="H121" s="32" t="s">
        <v>254</v>
      </c>
      <c r="I121" s="25">
        <v>1280.0</v>
      </c>
      <c r="J121" s="9">
        <f t="shared" si="3"/>
        <v>586.6666667</v>
      </c>
      <c r="K121" s="9"/>
      <c r="L121" s="26"/>
      <c r="M121" s="26"/>
      <c r="N121" s="26"/>
    </row>
    <row r="122" ht="21.75" hidden="1" customHeight="1">
      <c r="A122" s="27"/>
      <c r="B122" s="55"/>
      <c r="C122" s="27"/>
      <c r="D122" s="32"/>
      <c r="E122" s="4"/>
      <c r="F122" s="5"/>
      <c r="G122" s="6"/>
      <c r="H122" s="37"/>
      <c r="I122" s="8"/>
      <c r="J122" s="58"/>
      <c r="K122" s="9"/>
      <c r="L122" s="26"/>
      <c r="M122" s="26"/>
      <c r="N122" s="26"/>
    </row>
    <row r="123" ht="31.5" hidden="1" customHeight="1">
      <c r="A123" s="43" t="s">
        <v>346</v>
      </c>
      <c r="B123" s="13"/>
      <c r="C123" s="56"/>
      <c r="D123" s="64"/>
      <c r="E123" s="65"/>
      <c r="F123" s="66"/>
      <c r="G123" s="14"/>
      <c r="H123" s="56"/>
      <c r="I123" s="15"/>
      <c r="J123" s="15"/>
      <c r="K123" s="15"/>
      <c r="L123" s="67"/>
      <c r="M123" s="67"/>
      <c r="N123" s="67"/>
    </row>
    <row r="124" ht="21.75" customHeight="1">
      <c r="A124" s="11" t="s">
        <v>0</v>
      </c>
      <c r="B124" s="11" t="s">
        <v>1</v>
      </c>
      <c r="C124" s="11" t="s">
        <v>2</v>
      </c>
      <c r="D124" s="12" t="s">
        <v>3</v>
      </c>
      <c r="E124" s="11" t="s">
        <v>4</v>
      </c>
      <c r="F124" s="13"/>
      <c r="G124" s="14" t="s">
        <v>5</v>
      </c>
      <c r="H124" s="11" t="s">
        <v>6</v>
      </c>
      <c r="I124" s="15" t="s">
        <v>7</v>
      </c>
      <c r="J124" s="15" t="s">
        <v>8</v>
      </c>
      <c r="K124" s="16" t="s">
        <v>9</v>
      </c>
      <c r="L124" s="17"/>
      <c r="M124" s="17"/>
      <c r="N124" s="17"/>
    </row>
    <row r="125" ht="21.75" hidden="1" customHeight="1">
      <c r="A125" s="53" t="s">
        <v>347</v>
      </c>
      <c r="B125" s="53" t="s">
        <v>348</v>
      </c>
      <c r="C125" s="27" t="s">
        <v>349</v>
      </c>
      <c r="D125" s="68" t="s">
        <v>350</v>
      </c>
      <c r="E125" s="4"/>
      <c r="F125" s="5"/>
      <c r="G125" s="9">
        <v>365.0</v>
      </c>
      <c r="H125" s="32" t="s">
        <v>254</v>
      </c>
      <c r="I125" s="25">
        <v>780.0</v>
      </c>
      <c r="J125" s="9">
        <v>335.0</v>
      </c>
      <c r="K125" s="9"/>
      <c r="L125" s="26"/>
      <c r="M125" s="26"/>
      <c r="N125" s="26"/>
    </row>
    <row r="126" ht="21.75" hidden="1" customHeight="1">
      <c r="A126" s="53" t="s">
        <v>351</v>
      </c>
      <c r="B126" s="53" t="s">
        <v>352</v>
      </c>
      <c r="C126" s="27" t="s">
        <v>353</v>
      </c>
      <c r="D126" s="68" t="s">
        <v>354</v>
      </c>
      <c r="E126" s="4"/>
      <c r="F126" s="5"/>
      <c r="G126" s="9">
        <v>430.0</v>
      </c>
      <c r="H126" s="32" t="s">
        <v>254</v>
      </c>
      <c r="I126" s="25">
        <v>960.0</v>
      </c>
      <c r="J126" s="9">
        <v>394.0</v>
      </c>
      <c r="K126" s="9"/>
      <c r="L126" s="26"/>
      <c r="M126" s="26"/>
      <c r="N126" s="26"/>
    </row>
    <row r="127" ht="21.75" hidden="1" customHeight="1">
      <c r="A127" s="53" t="s">
        <v>355</v>
      </c>
      <c r="B127" s="53" t="s">
        <v>356</v>
      </c>
      <c r="C127" s="27" t="s">
        <v>357</v>
      </c>
      <c r="D127" s="32"/>
      <c r="E127" s="4"/>
      <c r="F127" s="5"/>
      <c r="G127" s="25">
        <v>430.0</v>
      </c>
      <c r="H127" s="70" t="s">
        <v>250</v>
      </c>
      <c r="I127" s="50" t="s">
        <v>358</v>
      </c>
      <c r="J127" s="9">
        <v>430.0</v>
      </c>
      <c r="K127" s="9"/>
      <c r="L127" s="26"/>
      <c r="M127" s="26"/>
      <c r="N127" s="26"/>
    </row>
    <row r="128" ht="21.75" hidden="1" customHeight="1">
      <c r="A128" s="27"/>
      <c r="B128" s="55"/>
      <c r="C128" s="27"/>
      <c r="D128" s="32"/>
      <c r="E128" s="4"/>
      <c r="F128" s="5"/>
      <c r="G128" s="6"/>
      <c r="H128" s="37"/>
      <c r="I128" s="8"/>
      <c r="J128" s="58"/>
      <c r="K128" s="9"/>
      <c r="L128" s="26"/>
      <c r="M128" s="26"/>
      <c r="N128" s="26"/>
    </row>
    <row r="129" ht="31.5" hidden="1" customHeight="1">
      <c r="A129" s="43" t="s">
        <v>359</v>
      </c>
      <c r="B129" s="13"/>
      <c r="C129" s="11"/>
      <c r="D129" s="12"/>
      <c r="E129" s="20"/>
      <c r="F129" s="21"/>
      <c r="G129" s="14"/>
      <c r="H129" s="56"/>
      <c r="I129" s="15"/>
      <c r="J129" s="15"/>
      <c r="K129" s="16"/>
      <c r="L129" s="26"/>
      <c r="M129" s="26"/>
      <c r="N129" s="26"/>
    </row>
    <row r="130" ht="21.75" customHeight="1">
      <c r="A130" s="11" t="s">
        <v>0</v>
      </c>
      <c r="B130" s="11" t="s">
        <v>1</v>
      </c>
      <c r="C130" s="11" t="s">
        <v>2</v>
      </c>
      <c r="D130" s="12" t="s">
        <v>3</v>
      </c>
      <c r="E130" s="11" t="s">
        <v>4</v>
      </c>
      <c r="F130" s="13"/>
      <c r="G130" s="14" t="s">
        <v>5</v>
      </c>
      <c r="H130" s="11" t="s">
        <v>6</v>
      </c>
      <c r="I130" s="15" t="s">
        <v>7</v>
      </c>
      <c r="J130" s="15" t="s">
        <v>8</v>
      </c>
      <c r="K130" s="16" t="s">
        <v>9</v>
      </c>
      <c r="L130" s="17"/>
      <c r="M130" s="17"/>
      <c r="N130" s="17"/>
    </row>
    <row r="131" ht="21.75" customHeight="1">
      <c r="A131" s="27" t="s">
        <v>360</v>
      </c>
      <c r="B131" s="22" t="s">
        <v>361</v>
      </c>
      <c r="C131" s="27" t="s">
        <v>362</v>
      </c>
      <c r="D131" s="68" t="s">
        <v>363</v>
      </c>
      <c r="E131" s="4">
        <v>5.0</v>
      </c>
      <c r="F131" s="5" t="s">
        <v>15</v>
      </c>
      <c r="G131" s="25">
        <v>10500.0</v>
      </c>
      <c r="H131" s="51" t="s">
        <v>254</v>
      </c>
      <c r="I131" s="25">
        <v>18800.0</v>
      </c>
      <c r="J131" s="25">
        <f>G131*11/12</f>
        <v>9625</v>
      </c>
      <c r="K131" s="9"/>
      <c r="L131" s="26"/>
      <c r="M131" s="26"/>
      <c r="N131" s="26"/>
    </row>
    <row r="132" ht="21.75" hidden="1" customHeight="1">
      <c r="A132" s="27" t="s">
        <v>364</v>
      </c>
      <c r="B132" s="22" t="s">
        <v>365</v>
      </c>
      <c r="C132" s="27" t="s">
        <v>366</v>
      </c>
      <c r="D132" s="68" t="s">
        <v>363</v>
      </c>
      <c r="E132" s="4">
        <v>23.0</v>
      </c>
      <c r="F132" s="5" t="s">
        <v>15</v>
      </c>
      <c r="G132" s="25"/>
      <c r="H132" s="51"/>
      <c r="I132" s="25"/>
      <c r="J132" s="25"/>
      <c r="K132" s="9"/>
      <c r="L132" s="26"/>
      <c r="M132" s="26"/>
      <c r="N132" s="26"/>
    </row>
    <row r="133" ht="21.75" customHeight="1">
      <c r="A133" s="27" t="s">
        <v>367</v>
      </c>
      <c r="B133" s="22" t="s">
        <v>368</v>
      </c>
      <c r="C133" s="27" t="s">
        <v>369</v>
      </c>
      <c r="D133" s="68"/>
      <c r="E133" s="4">
        <v>6.0</v>
      </c>
      <c r="F133" s="5" t="s">
        <v>15</v>
      </c>
      <c r="G133" s="25">
        <v>10500.0</v>
      </c>
      <c r="H133" s="51" t="s">
        <v>254</v>
      </c>
      <c r="I133" s="25">
        <v>18800.0</v>
      </c>
      <c r="J133" s="25">
        <f t="shared" ref="J133:J147" si="4">G133*11/12</f>
        <v>9625</v>
      </c>
      <c r="K133" s="9"/>
      <c r="L133" s="26"/>
      <c r="M133" s="26"/>
      <c r="N133" s="26"/>
    </row>
    <row r="134" ht="21.75" customHeight="1">
      <c r="A134" s="27" t="s">
        <v>370</v>
      </c>
      <c r="B134" s="22" t="s">
        <v>371</v>
      </c>
      <c r="C134" s="27" t="s">
        <v>372</v>
      </c>
      <c r="D134" s="68" t="s">
        <v>363</v>
      </c>
      <c r="E134" s="4">
        <v>10.0</v>
      </c>
      <c r="F134" s="5" t="s">
        <v>15</v>
      </c>
      <c r="G134" s="25">
        <v>2650.0</v>
      </c>
      <c r="H134" s="51" t="s">
        <v>254</v>
      </c>
      <c r="I134" s="25">
        <v>4680.0</v>
      </c>
      <c r="J134" s="25">
        <f t="shared" si="4"/>
        <v>2429.166667</v>
      </c>
      <c r="K134" s="9"/>
      <c r="L134" s="26"/>
      <c r="M134" s="26"/>
      <c r="N134" s="26"/>
    </row>
    <row r="135" ht="21.75" customHeight="1">
      <c r="A135" s="27" t="s">
        <v>373</v>
      </c>
      <c r="B135" s="22" t="s">
        <v>374</v>
      </c>
      <c r="C135" s="27" t="s">
        <v>375</v>
      </c>
      <c r="D135" s="68" t="s">
        <v>376</v>
      </c>
      <c r="E135" s="4">
        <v>164.0</v>
      </c>
      <c r="F135" s="5" t="s">
        <v>15</v>
      </c>
      <c r="G135" s="25">
        <v>2850.0</v>
      </c>
      <c r="H135" s="51" t="s">
        <v>254</v>
      </c>
      <c r="I135" s="25"/>
      <c r="J135" s="25">
        <f t="shared" si="4"/>
        <v>2612.5</v>
      </c>
      <c r="K135" s="9"/>
      <c r="L135" s="26"/>
      <c r="M135" s="26"/>
      <c r="N135" s="26"/>
    </row>
    <row r="136" ht="21.75" customHeight="1">
      <c r="A136" s="27" t="s">
        <v>377</v>
      </c>
      <c r="B136" s="22" t="s">
        <v>378</v>
      </c>
      <c r="C136" s="27" t="s">
        <v>379</v>
      </c>
      <c r="D136" s="32"/>
      <c r="E136" s="4">
        <v>60.0</v>
      </c>
      <c r="F136" s="5" t="s">
        <v>15</v>
      </c>
      <c r="G136" s="25">
        <v>2850.0</v>
      </c>
      <c r="H136" s="51" t="s">
        <v>254</v>
      </c>
      <c r="I136" s="25">
        <v>4680.0</v>
      </c>
      <c r="J136" s="25">
        <f t="shared" si="4"/>
        <v>2612.5</v>
      </c>
      <c r="K136" s="9"/>
      <c r="L136" s="26"/>
      <c r="M136" s="26"/>
      <c r="N136" s="26"/>
    </row>
    <row r="137" ht="21.75" hidden="1" customHeight="1">
      <c r="A137" s="27" t="s">
        <v>380</v>
      </c>
      <c r="B137" s="22" t="s">
        <v>381</v>
      </c>
      <c r="C137" s="27" t="s">
        <v>382</v>
      </c>
      <c r="D137" s="3"/>
      <c r="E137" s="4"/>
      <c r="F137" s="5"/>
      <c r="G137" s="25">
        <v>1280.0</v>
      </c>
      <c r="H137" s="51" t="s">
        <v>254</v>
      </c>
      <c r="I137" s="25">
        <v>2580.0</v>
      </c>
      <c r="J137" s="25">
        <f t="shared" si="4"/>
        <v>1173.333333</v>
      </c>
      <c r="K137" s="9"/>
      <c r="L137" s="26"/>
      <c r="M137" s="26"/>
      <c r="N137" s="26"/>
    </row>
    <row r="138" ht="21.75" customHeight="1">
      <c r="A138" s="27" t="s">
        <v>383</v>
      </c>
      <c r="B138" s="22" t="s">
        <v>384</v>
      </c>
      <c r="C138" s="27" t="s">
        <v>385</v>
      </c>
      <c r="D138" s="32"/>
      <c r="E138" s="4">
        <v>10.0</v>
      </c>
      <c r="F138" s="5" t="s">
        <v>15</v>
      </c>
      <c r="G138" s="25">
        <v>1650.0</v>
      </c>
      <c r="H138" s="51" t="s">
        <v>254</v>
      </c>
      <c r="I138" s="25">
        <v>2580.0</v>
      </c>
      <c r="J138" s="25">
        <f t="shared" si="4"/>
        <v>1512.5</v>
      </c>
      <c r="K138" s="9"/>
      <c r="L138" s="26"/>
      <c r="M138" s="26"/>
      <c r="N138" s="26"/>
    </row>
    <row r="139" ht="21.75" hidden="1" customHeight="1">
      <c r="A139" s="27" t="s">
        <v>386</v>
      </c>
      <c r="B139" s="22" t="s">
        <v>387</v>
      </c>
      <c r="C139" s="27" t="s">
        <v>388</v>
      </c>
      <c r="D139" s="32"/>
      <c r="E139" s="4"/>
      <c r="F139" s="5"/>
      <c r="G139" s="25">
        <v>2500.0</v>
      </c>
      <c r="H139" s="51" t="s">
        <v>254</v>
      </c>
      <c r="I139" s="25">
        <v>4680.0</v>
      </c>
      <c r="J139" s="25">
        <f t="shared" si="4"/>
        <v>2291.666667</v>
      </c>
      <c r="K139" s="9"/>
      <c r="L139" s="26"/>
      <c r="M139" s="26"/>
      <c r="N139" s="26"/>
    </row>
    <row r="140" ht="21.75" customHeight="1">
      <c r="A140" s="27" t="s">
        <v>389</v>
      </c>
      <c r="B140" s="22" t="s">
        <v>390</v>
      </c>
      <c r="C140" s="27" t="s">
        <v>388</v>
      </c>
      <c r="D140" s="32"/>
      <c r="E140" s="4">
        <v>17.0</v>
      </c>
      <c r="F140" s="5" t="s">
        <v>15</v>
      </c>
      <c r="G140" s="25">
        <v>2850.0</v>
      </c>
      <c r="H140" s="51" t="s">
        <v>254</v>
      </c>
      <c r="I140" s="25">
        <v>4680.0</v>
      </c>
      <c r="J140" s="25">
        <f t="shared" si="4"/>
        <v>2612.5</v>
      </c>
      <c r="K140" s="9"/>
      <c r="L140" s="26"/>
      <c r="M140" s="26"/>
      <c r="N140" s="26"/>
    </row>
    <row r="141" ht="21.75" hidden="1" customHeight="1">
      <c r="A141" s="27" t="s">
        <v>391</v>
      </c>
      <c r="B141" s="22" t="s">
        <v>392</v>
      </c>
      <c r="C141" s="27" t="s">
        <v>393</v>
      </c>
      <c r="D141" s="32"/>
      <c r="E141" s="4"/>
      <c r="F141" s="5"/>
      <c r="G141" s="25">
        <v>1160.0</v>
      </c>
      <c r="H141" s="51" t="s">
        <v>254</v>
      </c>
      <c r="I141" s="25">
        <v>2100.0</v>
      </c>
      <c r="J141" s="25">
        <f t="shared" si="4"/>
        <v>1063.333333</v>
      </c>
      <c r="K141" s="9"/>
      <c r="L141" s="26"/>
      <c r="M141" s="26"/>
      <c r="N141" s="26"/>
    </row>
    <row r="142" ht="21.75" hidden="1" customHeight="1">
      <c r="A142" s="27" t="s">
        <v>394</v>
      </c>
      <c r="B142" s="22" t="s">
        <v>395</v>
      </c>
      <c r="C142" s="27" t="s">
        <v>396</v>
      </c>
      <c r="D142" s="32"/>
      <c r="E142" s="4"/>
      <c r="F142" s="5"/>
      <c r="G142" s="25">
        <v>690.0</v>
      </c>
      <c r="H142" s="51" t="s">
        <v>254</v>
      </c>
      <c r="I142" s="25">
        <v>1380.0</v>
      </c>
      <c r="J142" s="25">
        <f t="shared" si="4"/>
        <v>632.5</v>
      </c>
      <c r="K142" s="9"/>
      <c r="L142" s="26"/>
      <c r="M142" s="26"/>
      <c r="N142" s="26"/>
    </row>
    <row r="143" ht="21.75" hidden="1" customHeight="1">
      <c r="A143" s="27" t="s">
        <v>397</v>
      </c>
      <c r="B143" s="22" t="s">
        <v>398</v>
      </c>
      <c r="C143" s="27" t="s">
        <v>399</v>
      </c>
      <c r="D143" s="68" t="s">
        <v>400</v>
      </c>
      <c r="E143" s="4"/>
      <c r="F143" s="5"/>
      <c r="G143" s="25">
        <v>645.0</v>
      </c>
      <c r="H143" s="51" t="s">
        <v>254</v>
      </c>
      <c r="I143" s="25">
        <v>1080.0</v>
      </c>
      <c r="J143" s="25">
        <f t="shared" si="4"/>
        <v>591.25</v>
      </c>
      <c r="K143" s="9"/>
      <c r="L143" s="26"/>
      <c r="M143" s="26"/>
      <c r="N143" s="26"/>
    </row>
    <row r="144" ht="21.75" hidden="1" customHeight="1">
      <c r="A144" s="27" t="s">
        <v>401</v>
      </c>
      <c r="B144" s="22" t="s">
        <v>402</v>
      </c>
      <c r="C144" s="27" t="s">
        <v>403</v>
      </c>
      <c r="D144" s="68">
        <v>89.0</v>
      </c>
      <c r="E144" s="4"/>
      <c r="F144" s="5"/>
      <c r="G144" s="25">
        <v>780.0</v>
      </c>
      <c r="H144" s="51" t="s">
        <v>254</v>
      </c>
      <c r="I144" s="25">
        <v>1380.0</v>
      </c>
      <c r="J144" s="25">
        <f t="shared" si="4"/>
        <v>715</v>
      </c>
      <c r="K144" s="9"/>
      <c r="L144" s="26"/>
      <c r="M144" s="26"/>
      <c r="N144" s="26"/>
    </row>
    <row r="145" ht="21.75" customHeight="1">
      <c r="A145" s="27" t="s">
        <v>404</v>
      </c>
      <c r="B145" s="22" t="s">
        <v>405</v>
      </c>
      <c r="C145" s="27" t="s">
        <v>406</v>
      </c>
      <c r="D145" s="68"/>
      <c r="E145" s="4">
        <v>20.0</v>
      </c>
      <c r="F145" s="5" t="s">
        <v>15</v>
      </c>
      <c r="G145" s="25">
        <v>3160.0</v>
      </c>
      <c r="H145" s="51" t="s">
        <v>254</v>
      </c>
      <c r="I145" s="25">
        <v>5680.0</v>
      </c>
      <c r="J145" s="25">
        <f t="shared" si="4"/>
        <v>2896.666667</v>
      </c>
      <c r="K145" s="9"/>
      <c r="L145" s="26"/>
      <c r="M145" s="26"/>
      <c r="N145" s="26"/>
    </row>
    <row r="146" ht="21.75" hidden="1" customHeight="1">
      <c r="A146" s="27" t="s">
        <v>407</v>
      </c>
      <c r="B146" s="22" t="s">
        <v>408</v>
      </c>
      <c r="C146" s="27" t="s">
        <v>409</v>
      </c>
      <c r="D146" s="68"/>
      <c r="E146" s="4"/>
      <c r="F146" s="5"/>
      <c r="G146" s="25">
        <v>1400.0</v>
      </c>
      <c r="H146" s="51" t="s">
        <v>254</v>
      </c>
      <c r="I146" s="25">
        <v>2580.0</v>
      </c>
      <c r="J146" s="25">
        <f t="shared" si="4"/>
        <v>1283.333333</v>
      </c>
      <c r="K146" s="9"/>
      <c r="L146" s="26"/>
      <c r="M146" s="26"/>
      <c r="N146" s="26"/>
    </row>
    <row r="147" ht="21.75" customHeight="1">
      <c r="A147" s="27" t="s">
        <v>410</v>
      </c>
      <c r="B147" s="22" t="s">
        <v>411</v>
      </c>
      <c r="C147" s="27" t="s">
        <v>412</v>
      </c>
      <c r="D147" s="68" t="s">
        <v>413</v>
      </c>
      <c r="E147" s="4">
        <v>6.0</v>
      </c>
      <c r="F147" s="5" t="s">
        <v>15</v>
      </c>
      <c r="G147" s="25">
        <v>1650.0</v>
      </c>
      <c r="H147" s="51" t="s">
        <v>254</v>
      </c>
      <c r="I147" s="25">
        <v>2580.0</v>
      </c>
      <c r="J147" s="25">
        <f t="shared" si="4"/>
        <v>1512.5</v>
      </c>
      <c r="K147" s="9"/>
      <c r="L147" s="26"/>
      <c r="M147" s="26"/>
      <c r="N147" s="26"/>
    </row>
    <row r="148" ht="21.75" hidden="1" customHeight="1">
      <c r="A148" s="2"/>
      <c r="B148" s="2"/>
      <c r="C148" s="2"/>
      <c r="D148" s="3"/>
      <c r="E148" s="4"/>
      <c r="F148" s="5"/>
      <c r="G148" s="6"/>
      <c r="H148" s="7"/>
      <c r="I148" s="8"/>
      <c r="J148" s="9"/>
      <c r="K148" s="9"/>
      <c r="L148" s="26"/>
      <c r="M148" s="26"/>
      <c r="N148" s="26"/>
    </row>
    <row r="149" ht="31.5" hidden="1" customHeight="1">
      <c r="A149" s="43" t="s">
        <v>414</v>
      </c>
      <c r="B149" s="13"/>
      <c r="C149" s="11"/>
      <c r="D149" s="12"/>
      <c r="E149" s="20"/>
      <c r="F149" s="21"/>
      <c r="G149" s="14"/>
      <c r="H149" s="11"/>
      <c r="I149" s="15"/>
      <c r="J149" s="15"/>
      <c r="K149" s="16"/>
      <c r="L149" s="26"/>
      <c r="M149" s="26"/>
      <c r="N149" s="26"/>
    </row>
    <row r="150" ht="21.75" customHeight="1">
      <c r="A150" s="11" t="s">
        <v>0</v>
      </c>
      <c r="B150" s="11" t="s">
        <v>1</v>
      </c>
      <c r="C150" s="11" t="s">
        <v>2</v>
      </c>
      <c r="D150" s="12" t="s">
        <v>3</v>
      </c>
      <c r="E150" s="11" t="s">
        <v>4</v>
      </c>
      <c r="F150" s="13"/>
      <c r="G150" s="14" t="s">
        <v>5</v>
      </c>
      <c r="H150" s="11" t="s">
        <v>6</v>
      </c>
      <c r="I150" s="15" t="s">
        <v>7</v>
      </c>
      <c r="J150" s="15" t="s">
        <v>8</v>
      </c>
      <c r="K150" s="16" t="s">
        <v>9</v>
      </c>
      <c r="L150" s="17"/>
      <c r="M150" s="17"/>
      <c r="N150" s="17"/>
    </row>
    <row r="151" ht="21.75" hidden="1" customHeight="1">
      <c r="A151" s="22" t="s">
        <v>415</v>
      </c>
      <c r="B151" s="27" t="s">
        <v>416</v>
      </c>
      <c r="C151" s="27" t="s">
        <v>417</v>
      </c>
      <c r="D151" s="68" t="s">
        <v>418</v>
      </c>
      <c r="E151" s="4"/>
      <c r="F151" s="5"/>
      <c r="G151" s="25">
        <v>4280.0</v>
      </c>
      <c r="H151" s="32" t="s">
        <v>254</v>
      </c>
      <c r="I151" s="25">
        <v>7800.0</v>
      </c>
      <c r="J151" s="25">
        <v>3923.0</v>
      </c>
      <c r="K151" s="9"/>
      <c r="L151" s="26"/>
      <c r="M151" s="26"/>
      <c r="N151" s="26"/>
    </row>
    <row r="152" ht="21.75" customHeight="1">
      <c r="A152" s="22" t="s">
        <v>419</v>
      </c>
      <c r="B152" s="27" t="s">
        <v>420</v>
      </c>
      <c r="C152" s="27" t="s">
        <v>421</v>
      </c>
      <c r="D152" s="68" t="s">
        <v>422</v>
      </c>
      <c r="E152" s="4">
        <v>5.0</v>
      </c>
      <c r="F152" s="5" t="s">
        <v>15</v>
      </c>
      <c r="G152" s="25">
        <v>4810.0</v>
      </c>
      <c r="H152" s="32" t="s">
        <v>254</v>
      </c>
      <c r="I152" s="25">
        <v>8800.0</v>
      </c>
      <c r="J152" s="25">
        <f t="shared" ref="J152:J158" si="5">G152*11/12</f>
        <v>4409.166667</v>
      </c>
      <c r="K152" s="9"/>
      <c r="L152" s="26"/>
      <c r="M152" s="26"/>
      <c r="N152" s="26"/>
    </row>
    <row r="153" ht="21.75" customHeight="1">
      <c r="A153" s="22" t="s">
        <v>423</v>
      </c>
      <c r="B153" s="27" t="s">
        <v>424</v>
      </c>
      <c r="C153" s="27" t="s">
        <v>425</v>
      </c>
      <c r="D153" s="68" t="s">
        <v>426</v>
      </c>
      <c r="E153" s="4">
        <v>14.0</v>
      </c>
      <c r="F153" s="5" t="s">
        <v>15</v>
      </c>
      <c r="G153" s="25">
        <v>3350.0</v>
      </c>
      <c r="H153" s="32" t="s">
        <v>254</v>
      </c>
      <c r="I153" s="25">
        <v>5800.0</v>
      </c>
      <c r="J153" s="25">
        <f t="shared" si="5"/>
        <v>3070.833333</v>
      </c>
      <c r="K153" s="9"/>
      <c r="L153" s="26"/>
      <c r="M153" s="26"/>
      <c r="N153" s="26"/>
    </row>
    <row r="154" ht="21.75" customHeight="1">
      <c r="A154" s="22" t="s">
        <v>427</v>
      </c>
      <c r="B154" s="27" t="s">
        <v>428</v>
      </c>
      <c r="C154" s="27" t="s">
        <v>429</v>
      </c>
      <c r="D154" s="68" t="s">
        <v>430</v>
      </c>
      <c r="E154" s="4">
        <v>3.0</v>
      </c>
      <c r="F154" s="5" t="s">
        <v>15</v>
      </c>
      <c r="G154" s="25">
        <v>2300.0</v>
      </c>
      <c r="H154" s="32" t="s">
        <v>254</v>
      </c>
      <c r="I154" s="25">
        <v>3680.0</v>
      </c>
      <c r="J154" s="25">
        <f t="shared" si="5"/>
        <v>2108.333333</v>
      </c>
      <c r="K154" s="9"/>
      <c r="L154" s="26"/>
      <c r="M154" s="26"/>
      <c r="N154" s="26"/>
    </row>
    <row r="155" ht="21.75" hidden="1" customHeight="1">
      <c r="A155" s="22" t="s">
        <v>431</v>
      </c>
      <c r="B155" s="27" t="s">
        <v>432</v>
      </c>
      <c r="C155" s="27" t="s">
        <v>433</v>
      </c>
      <c r="D155" s="68" t="s">
        <v>434</v>
      </c>
      <c r="E155" s="4"/>
      <c r="F155" s="5"/>
      <c r="G155" s="25">
        <v>2450.0</v>
      </c>
      <c r="H155" s="32" t="s">
        <v>254</v>
      </c>
      <c r="I155" s="25">
        <v>3980.0</v>
      </c>
      <c r="J155" s="25">
        <f t="shared" si="5"/>
        <v>2245.833333</v>
      </c>
      <c r="K155" s="9"/>
      <c r="L155" s="26"/>
      <c r="M155" s="26"/>
      <c r="N155" s="26"/>
    </row>
    <row r="156" ht="21.75" hidden="1" customHeight="1">
      <c r="A156" s="22" t="s">
        <v>435</v>
      </c>
      <c r="B156" s="27" t="s">
        <v>436</v>
      </c>
      <c r="C156" s="27" t="s">
        <v>437</v>
      </c>
      <c r="D156" s="68" t="s">
        <v>438</v>
      </c>
      <c r="E156" s="4"/>
      <c r="F156" s="5"/>
      <c r="G156" s="25">
        <v>2080.0</v>
      </c>
      <c r="H156" s="32" t="s">
        <v>254</v>
      </c>
      <c r="I156" s="25">
        <v>3380.0</v>
      </c>
      <c r="J156" s="25">
        <f t="shared" si="5"/>
        <v>1906.666667</v>
      </c>
      <c r="K156" s="9"/>
      <c r="L156" s="26"/>
      <c r="M156" s="26"/>
      <c r="N156" s="26"/>
    </row>
    <row r="157" ht="21.75" customHeight="1">
      <c r="A157" s="22" t="s">
        <v>439</v>
      </c>
      <c r="B157" s="27" t="s">
        <v>440</v>
      </c>
      <c r="C157" s="27" t="s">
        <v>441</v>
      </c>
      <c r="D157" s="3"/>
      <c r="E157" s="4">
        <v>12.0</v>
      </c>
      <c r="F157" s="5" t="s">
        <v>15</v>
      </c>
      <c r="G157" s="25">
        <v>1080.0</v>
      </c>
      <c r="H157" s="32" t="s">
        <v>254</v>
      </c>
      <c r="I157" s="25">
        <v>1980.0</v>
      </c>
      <c r="J157" s="25">
        <f t="shared" si="5"/>
        <v>990</v>
      </c>
      <c r="K157" s="9"/>
      <c r="L157" s="26"/>
      <c r="M157" s="26"/>
      <c r="N157" s="26"/>
    </row>
    <row r="158" ht="21.75" customHeight="1">
      <c r="A158" s="22" t="s">
        <v>442</v>
      </c>
      <c r="B158" s="27" t="s">
        <v>443</v>
      </c>
      <c r="C158" s="27" t="s">
        <v>444</v>
      </c>
      <c r="D158" s="3"/>
      <c r="E158" s="4">
        <v>30.0</v>
      </c>
      <c r="F158" s="5" t="s">
        <v>15</v>
      </c>
      <c r="G158" s="25">
        <v>1150.0</v>
      </c>
      <c r="H158" s="32" t="s">
        <v>254</v>
      </c>
      <c r="I158" s="25">
        <v>1680.0</v>
      </c>
      <c r="J158" s="25">
        <f t="shared" si="5"/>
        <v>1054.166667</v>
      </c>
      <c r="K158" s="9"/>
      <c r="L158" s="26"/>
      <c r="M158" s="26"/>
      <c r="N158" s="26"/>
    </row>
    <row r="159" ht="21.75" hidden="1" customHeight="1">
      <c r="A159" s="22" t="s">
        <v>445</v>
      </c>
      <c r="B159" s="5" t="s">
        <v>446</v>
      </c>
      <c r="C159" s="5" t="s">
        <v>447</v>
      </c>
      <c r="D159" s="3"/>
      <c r="E159" s="4"/>
      <c r="F159" s="5"/>
      <c r="G159" s="6">
        <v>2800.0</v>
      </c>
      <c r="H159" s="71"/>
      <c r="I159" s="8"/>
      <c r="J159" s="9"/>
      <c r="K159" s="9"/>
      <c r="L159" s="26"/>
      <c r="M159" s="26"/>
      <c r="N159" s="26"/>
    </row>
    <row r="160" ht="21.75" hidden="1" customHeight="1">
      <c r="A160" s="22" t="s">
        <v>448</v>
      </c>
      <c r="B160" s="5" t="s">
        <v>449</v>
      </c>
      <c r="C160" s="5" t="s">
        <v>450</v>
      </c>
      <c r="D160" s="3"/>
      <c r="E160" s="4"/>
      <c r="F160" s="5"/>
      <c r="G160" s="6"/>
      <c r="H160" s="71"/>
      <c r="I160" s="8"/>
      <c r="J160" s="9"/>
      <c r="K160" s="9"/>
      <c r="L160" s="26"/>
      <c r="M160" s="26"/>
      <c r="N160" s="26"/>
    </row>
    <row r="161" ht="21.75" hidden="1" customHeight="1">
      <c r="A161" s="22" t="s">
        <v>451</v>
      </c>
      <c r="B161" s="5" t="s">
        <v>452</v>
      </c>
      <c r="C161" s="5" t="s">
        <v>453</v>
      </c>
      <c r="D161" s="3"/>
      <c r="E161" s="4"/>
      <c r="F161" s="5"/>
      <c r="G161" s="6"/>
      <c r="H161" s="71"/>
      <c r="I161" s="8"/>
      <c r="J161" s="9"/>
      <c r="K161" s="9"/>
      <c r="L161" s="26"/>
      <c r="M161" s="26"/>
      <c r="N161" s="26"/>
    </row>
    <row r="162" ht="21.75" hidden="1" customHeight="1">
      <c r="A162" s="22" t="s">
        <v>454</v>
      </c>
      <c r="B162" s="5" t="s">
        <v>455</v>
      </c>
      <c r="C162" s="5" t="s">
        <v>456</v>
      </c>
      <c r="D162" s="3"/>
      <c r="E162" s="4"/>
      <c r="F162" s="5"/>
      <c r="G162" s="6"/>
      <c r="H162" s="71"/>
      <c r="I162" s="8"/>
      <c r="J162" s="9"/>
      <c r="K162" s="9"/>
      <c r="L162" s="26"/>
      <c r="M162" s="26"/>
      <c r="N162" s="26"/>
    </row>
    <row r="163" ht="21.75" hidden="1" customHeight="1">
      <c r="A163" s="22"/>
      <c r="B163" s="2"/>
      <c r="C163" s="2"/>
      <c r="D163" s="3"/>
      <c r="E163" s="4"/>
      <c r="F163" s="5"/>
      <c r="G163" s="6"/>
      <c r="H163" s="71"/>
      <c r="I163" s="8"/>
      <c r="J163" s="9"/>
      <c r="K163" s="9"/>
      <c r="L163" s="26"/>
      <c r="M163" s="26"/>
      <c r="N163" s="26"/>
    </row>
    <row r="164" ht="31.5" hidden="1" customHeight="1">
      <c r="A164" s="63" t="s">
        <v>457</v>
      </c>
      <c r="B164" s="13"/>
      <c r="C164" s="11"/>
      <c r="D164" s="12"/>
      <c r="E164" s="20"/>
      <c r="F164" s="21"/>
      <c r="G164" s="14"/>
      <c r="H164" s="56"/>
      <c r="I164" s="15"/>
      <c r="J164" s="15"/>
      <c r="K164" s="16"/>
      <c r="L164" s="26"/>
      <c r="M164" s="26"/>
      <c r="N164" s="26"/>
    </row>
    <row r="165" ht="21.75" customHeight="1">
      <c r="A165" s="11" t="s">
        <v>0</v>
      </c>
      <c r="B165" s="11" t="s">
        <v>1</v>
      </c>
      <c r="C165" s="11" t="s">
        <v>2</v>
      </c>
      <c r="D165" s="12" t="s">
        <v>3</v>
      </c>
      <c r="E165" s="11" t="s">
        <v>4</v>
      </c>
      <c r="F165" s="13"/>
      <c r="G165" s="14" t="s">
        <v>5</v>
      </c>
      <c r="H165" s="11" t="s">
        <v>6</v>
      </c>
      <c r="I165" s="15" t="s">
        <v>7</v>
      </c>
      <c r="J165" s="15" t="s">
        <v>8</v>
      </c>
      <c r="K165" s="16" t="s">
        <v>9</v>
      </c>
      <c r="L165" s="17"/>
      <c r="M165" s="17"/>
      <c r="N165" s="17"/>
    </row>
    <row r="166" ht="21.75" hidden="1" customHeight="1">
      <c r="A166" s="22" t="s">
        <v>458</v>
      </c>
      <c r="B166" s="5" t="s">
        <v>459</v>
      </c>
      <c r="C166" s="27" t="s">
        <v>460</v>
      </c>
      <c r="D166" s="3"/>
      <c r="E166" s="4"/>
      <c r="F166" s="5"/>
      <c r="G166" s="25">
        <v>3650.0</v>
      </c>
      <c r="H166" s="51" t="s">
        <v>250</v>
      </c>
      <c r="I166" s="25">
        <v>6800.0</v>
      </c>
      <c r="J166" s="50"/>
      <c r="K166" s="9"/>
      <c r="L166" s="26"/>
      <c r="M166" s="26"/>
      <c r="N166" s="26"/>
    </row>
    <row r="167" ht="21.75" hidden="1" customHeight="1">
      <c r="A167" s="22" t="s">
        <v>461</v>
      </c>
      <c r="B167" s="5" t="s">
        <v>462</v>
      </c>
      <c r="C167" s="5" t="s">
        <v>463</v>
      </c>
      <c r="D167" s="72"/>
      <c r="E167" s="73"/>
      <c r="F167" s="74"/>
      <c r="G167" s="25"/>
      <c r="H167" s="51"/>
      <c r="I167" s="25"/>
      <c r="J167" s="50"/>
      <c r="K167" s="9"/>
      <c r="L167" s="26"/>
      <c r="M167" s="26"/>
      <c r="N167" s="26"/>
    </row>
    <row r="168" ht="12.75" customHeight="1">
      <c r="A168" s="22" t="s">
        <v>464</v>
      </c>
      <c r="B168" s="5" t="s">
        <v>465</v>
      </c>
      <c r="C168" s="27" t="s">
        <v>466</v>
      </c>
      <c r="D168" s="75" t="s">
        <v>467</v>
      </c>
      <c r="E168" s="4">
        <v>72.0</v>
      </c>
      <c r="F168" s="5" t="s">
        <v>15</v>
      </c>
      <c r="G168" s="25">
        <v>1750.0</v>
      </c>
      <c r="H168" s="51" t="s">
        <v>254</v>
      </c>
      <c r="I168" s="25">
        <v>2980.0</v>
      </c>
      <c r="J168" s="25">
        <f>G168*11/12</f>
        <v>1604.166667</v>
      </c>
      <c r="K168" s="9"/>
      <c r="L168" s="26"/>
      <c r="M168" s="26"/>
      <c r="N168" s="26"/>
    </row>
    <row r="169" ht="21.75" customHeight="1">
      <c r="A169" s="22" t="s">
        <v>468</v>
      </c>
      <c r="B169" s="5" t="s">
        <v>469</v>
      </c>
      <c r="C169" s="5" t="s">
        <v>470</v>
      </c>
      <c r="D169" s="68" t="s">
        <v>471</v>
      </c>
      <c r="E169" s="4">
        <v>56.0</v>
      </c>
      <c r="F169" s="5" t="s">
        <v>15</v>
      </c>
      <c r="G169" s="25">
        <v>2300.0</v>
      </c>
      <c r="H169" s="51"/>
      <c r="I169" s="25">
        <v>3800.0</v>
      </c>
      <c r="J169" s="50"/>
      <c r="K169" s="9"/>
      <c r="L169" s="26"/>
      <c r="M169" s="26"/>
      <c r="N169" s="26"/>
    </row>
    <row r="170" ht="21.75" customHeight="1">
      <c r="A170" s="22" t="s">
        <v>472</v>
      </c>
      <c r="B170" s="5" t="s">
        <v>473</v>
      </c>
      <c r="C170" s="5" t="s">
        <v>474</v>
      </c>
      <c r="D170" s="68" t="s">
        <v>475</v>
      </c>
      <c r="E170" s="4">
        <v>20.0</v>
      </c>
      <c r="F170" s="5" t="s">
        <v>15</v>
      </c>
      <c r="G170" s="25">
        <v>2800.0</v>
      </c>
      <c r="H170" s="51"/>
      <c r="I170" s="25">
        <v>4600.0</v>
      </c>
      <c r="J170" s="50"/>
      <c r="K170" s="9"/>
      <c r="L170" s="26"/>
      <c r="M170" s="26"/>
      <c r="N170" s="26"/>
    </row>
    <row r="171" ht="21.75" customHeight="1">
      <c r="A171" s="22" t="s">
        <v>476</v>
      </c>
      <c r="B171" s="5" t="s">
        <v>477</v>
      </c>
      <c r="C171" s="5" t="s">
        <v>478</v>
      </c>
      <c r="D171" s="68" t="s">
        <v>479</v>
      </c>
      <c r="E171" s="4">
        <v>8.0</v>
      </c>
      <c r="F171" s="5" t="s">
        <v>15</v>
      </c>
      <c r="G171" s="25">
        <v>3500.0</v>
      </c>
      <c r="H171" s="51"/>
      <c r="I171" s="25">
        <v>5800.0</v>
      </c>
      <c r="J171" s="50"/>
      <c r="K171" s="9"/>
      <c r="L171" s="26"/>
      <c r="M171" s="26"/>
      <c r="N171" s="26"/>
    </row>
    <row r="172" ht="21.75" customHeight="1">
      <c r="A172" s="22" t="s">
        <v>480</v>
      </c>
      <c r="B172" s="5" t="s">
        <v>481</v>
      </c>
      <c r="C172" s="5" t="s">
        <v>482</v>
      </c>
      <c r="D172" s="68" t="s">
        <v>483</v>
      </c>
      <c r="E172" s="4">
        <v>44.0</v>
      </c>
      <c r="F172" s="5" t="s">
        <v>15</v>
      </c>
      <c r="G172" s="25">
        <v>2600.0</v>
      </c>
      <c r="H172" s="51"/>
      <c r="I172" s="25">
        <v>4200.0</v>
      </c>
      <c r="J172" s="50"/>
      <c r="K172" s="9"/>
      <c r="L172" s="26"/>
      <c r="M172" s="26"/>
      <c r="N172" s="26"/>
    </row>
    <row r="173" ht="21.75" customHeight="1">
      <c r="A173" s="22" t="s">
        <v>484</v>
      </c>
      <c r="B173" s="5" t="s">
        <v>485</v>
      </c>
      <c r="C173" s="5" t="s">
        <v>486</v>
      </c>
      <c r="D173" s="68" t="s">
        <v>487</v>
      </c>
      <c r="E173" s="4">
        <v>12.0</v>
      </c>
      <c r="F173" s="5" t="s">
        <v>15</v>
      </c>
      <c r="G173" s="25">
        <v>3000.0</v>
      </c>
      <c r="H173" s="51"/>
      <c r="I173" s="25">
        <v>4980.0</v>
      </c>
      <c r="J173" s="50"/>
      <c r="K173" s="9"/>
      <c r="L173" s="26"/>
      <c r="M173" s="26"/>
      <c r="N173" s="26"/>
    </row>
    <row r="174" ht="12.75" hidden="1" customHeight="1">
      <c r="A174" s="22" t="s">
        <v>488</v>
      </c>
      <c r="B174" s="5" t="s">
        <v>489</v>
      </c>
      <c r="C174" s="27" t="s">
        <v>490</v>
      </c>
      <c r="D174" s="75" t="s">
        <v>467</v>
      </c>
      <c r="E174" s="4"/>
      <c r="F174" s="5"/>
      <c r="G174" s="25">
        <v>1950.0</v>
      </c>
      <c r="H174" s="51" t="s">
        <v>254</v>
      </c>
      <c r="I174" s="25">
        <v>3280.0</v>
      </c>
      <c r="J174" s="25">
        <f>G174*11/12</f>
        <v>1787.5</v>
      </c>
      <c r="K174" s="9"/>
      <c r="L174" s="26"/>
      <c r="M174" s="26"/>
      <c r="N174" s="26"/>
    </row>
    <row r="175" ht="21.75" customHeight="1">
      <c r="A175" s="22" t="s">
        <v>491</v>
      </c>
      <c r="B175" s="5" t="s">
        <v>492</v>
      </c>
      <c r="C175" s="5" t="s">
        <v>493</v>
      </c>
      <c r="D175" s="75"/>
      <c r="E175" s="4">
        <v>114.0</v>
      </c>
      <c r="F175" s="5" t="s">
        <v>15</v>
      </c>
      <c r="G175" s="25">
        <v>2400.0</v>
      </c>
      <c r="H175" s="51"/>
      <c r="I175" s="25">
        <v>3880.0</v>
      </c>
      <c r="J175" s="50"/>
      <c r="K175" s="9"/>
      <c r="L175" s="26"/>
      <c r="M175" s="26"/>
      <c r="N175" s="26"/>
    </row>
    <row r="176" ht="21.75" customHeight="1">
      <c r="A176" s="22" t="s">
        <v>494</v>
      </c>
      <c r="B176" s="5" t="s">
        <v>495</v>
      </c>
      <c r="C176" s="5" t="s">
        <v>496</v>
      </c>
      <c r="D176" s="75"/>
      <c r="E176" s="4">
        <v>35.0</v>
      </c>
      <c r="F176" s="5" t="s">
        <v>15</v>
      </c>
      <c r="G176" s="25">
        <v>2500.0</v>
      </c>
      <c r="H176" s="51"/>
      <c r="I176" s="25">
        <v>3980.0</v>
      </c>
      <c r="J176" s="50"/>
      <c r="K176" s="9"/>
      <c r="L176" s="26"/>
      <c r="M176" s="26"/>
      <c r="N176" s="26"/>
    </row>
    <row r="177" ht="21.75" customHeight="1">
      <c r="A177" s="22" t="s">
        <v>497</v>
      </c>
      <c r="B177" s="5" t="s">
        <v>498</v>
      </c>
      <c r="C177" s="5" t="s">
        <v>499</v>
      </c>
      <c r="D177" s="75"/>
      <c r="E177" s="4">
        <v>22.0</v>
      </c>
      <c r="F177" s="5" t="s">
        <v>15</v>
      </c>
      <c r="G177" s="25">
        <v>2000.0</v>
      </c>
      <c r="H177" s="51"/>
      <c r="I177" s="25">
        <v>3300.0</v>
      </c>
      <c r="J177" s="50"/>
      <c r="K177" s="9"/>
      <c r="L177" s="26"/>
      <c r="M177" s="26"/>
      <c r="N177" s="26"/>
    </row>
    <row r="178" ht="21.75" customHeight="1">
      <c r="A178" s="22" t="s">
        <v>500</v>
      </c>
      <c r="B178" s="5" t="s">
        <v>501</v>
      </c>
      <c r="C178" s="5" t="s">
        <v>502</v>
      </c>
      <c r="D178" s="68" t="s">
        <v>503</v>
      </c>
      <c r="E178" s="4">
        <v>58.0</v>
      </c>
      <c r="F178" s="5" t="s">
        <v>15</v>
      </c>
      <c r="G178" s="25">
        <v>2500.0</v>
      </c>
      <c r="H178" s="51"/>
      <c r="I178" s="25">
        <v>3980.0</v>
      </c>
      <c r="J178" s="50"/>
      <c r="K178" s="9"/>
      <c r="L178" s="26"/>
      <c r="M178" s="26"/>
      <c r="N178" s="26"/>
    </row>
    <row r="179" ht="21.75" customHeight="1">
      <c r="A179" s="22" t="s">
        <v>504</v>
      </c>
      <c r="B179" s="5" t="s">
        <v>505</v>
      </c>
      <c r="C179" s="5" t="s">
        <v>506</v>
      </c>
      <c r="D179" s="68" t="s">
        <v>487</v>
      </c>
      <c r="E179" s="4">
        <v>21.0</v>
      </c>
      <c r="F179" s="5" t="s">
        <v>15</v>
      </c>
      <c r="G179" s="25">
        <v>2800.0</v>
      </c>
      <c r="H179" s="51"/>
      <c r="I179" s="25">
        <v>4600.0</v>
      </c>
      <c r="J179" s="50"/>
      <c r="K179" s="9"/>
      <c r="L179" s="26"/>
      <c r="M179" s="26"/>
      <c r="N179" s="26"/>
    </row>
    <row r="180" ht="21.75" customHeight="1">
      <c r="A180" s="22" t="s">
        <v>507</v>
      </c>
      <c r="B180" s="5" t="s">
        <v>508</v>
      </c>
      <c r="C180" s="5" t="s">
        <v>509</v>
      </c>
      <c r="D180" s="68" t="s">
        <v>510</v>
      </c>
      <c r="E180" s="4">
        <v>17.0</v>
      </c>
      <c r="F180" s="5" t="s">
        <v>15</v>
      </c>
      <c r="G180" s="25">
        <v>3800.0</v>
      </c>
      <c r="H180" s="51"/>
      <c r="I180" s="25">
        <v>6280.0</v>
      </c>
      <c r="J180" s="50"/>
      <c r="K180" s="9"/>
      <c r="L180" s="26"/>
      <c r="M180" s="26"/>
      <c r="N180" s="26"/>
    </row>
    <row r="181" ht="21.75" customHeight="1">
      <c r="A181" s="22" t="s">
        <v>511</v>
      </c>
      <c r="B181" s="5" t="s">
        <v>512</v>
      </c>
      <c r="C181" s="5" t="s">
        <v>513</v>
      </c>
      <c r="D181" s="68"/>
      <c r="E181" s="4">
        <v>10.0</v>
      </c>
      <c r="F181" s="5" t="s">
        <v>15</v>
      </c>
      <c r="G181" s="25">
        <v>2900.0</v>
      </c>
      <c r="H181" s="51"/>
      <c r="I181" s="25">
        <v>4800.0</v>
      </c>
      <c r="J181" s="50"/>
      <c r="K181" s="9"/>
      <c r="L181" s="26"/>
      <c r="M181" s="26"/>
      <c r="N181" s="26"/>
    </row>
    <row r="182" ht="21.75" hidden="1" customHeight="1">
      <c r="A182" s="27"/>
      <c r="B182" s="55"/>
      <c r="C182" s="27"/>
      <c r="D182" s="72"/>
      <c r="E182" s="4"/>
      <c r="F182" s="5"/>
      <c r="G182" s="6"/>
      <c r="H182" s="37"/>
      <c r="I182" s="8"/>
      <c r="J182" s="58"/>
      <c r="K182" s="9"/>
      <c r="L182" s="26"/>
      <c r="M182" s="26"/>
      <c r="N182" s="26"/>
    </row>
    <row r="183" ht="31.5" hidden="1" customHeight="1">
      <c r="A183" s="76" t="s">
        <v>514</v>
      </c>
      <c r="B183" s="13"/>
      <c r="C183" s="11"/>
      <c r="D183" s="12"/>
      <c r="E183" s="20"/>
      <c r="F183" s="21"/>
      <c r="G183" s="14"/>
      <c r="H183" s="11"/>
      <c r="I183" s="15"/>
      <c r="J183" s="15"/>
      <c r="K183" s="16"/>
      <c r="L183" s="26"/>
      <c r="M183" s="26"/>
      <c r="N183" s="26"/>
    </row>
    <row r="184" ht="21.75" customHeight="1">
      <c r="A184" s="11" t="s">
        <v>0</v>
      </c>
      <c r="B184" s="11" t="s">
        <v>1</v>
      </c>
      <c r="C184" s="11" t="s">
        <v>2</v>
      </c>
      <c r="D184" s="12" t="s">
        <v>3</v>
      </c>
      <c r="E184" s="11" t="s">
        <v>4</v>
      </c>
      <c r="F184" s="13"/>
      <c r="G184" s="14" t="s">
        <v>5</v>
      </c>
      <c r="H184" s="11" t="s">
        <v>6</v>
      </c>
      <c r="I184" s="15" t="s">
        <v>7</v>
      </c>
      <c r="J184" s="15" t="s">
        <v>8</v>
      </c>
      <c r="K184" s="16" t="s">
        <v>9</v>
      </c>
      <c r="L184" s="17"/>
      <c r="M184" s="17"/>
      <c r="N184" s="17"/>
    </row>
    <row r="185" ht="21.75" hidden="1" customHeight="1">
      <c r="A185" s="5" t="s">
        <v>515</v>
      </c>
      <c r="B185" s="5" t="s">
        <v>516</v>
      </c>
      <c r="C185" s="5" t="s">
        <v>517</v>
      </c>
      <c r="D185" s="3"/>
      <c r="E185" s="4"/>
      <c r="F185" s="5"/>
      <c r="G185" s="25"/>
      <c r="H185" s="32"/>
      <c r="I185" s="50"/>
      <c r="J185" s="50"/>
      <c r="K185" s="58"/>
      <c r="L185" s="26"/>
      <c r="M185" s="26"/>
      <c r="N185" s="26"/>
    </row>
    <row r="186" ht="21.75" hidden="1" customHeight="1">
      <c r="A186" s="22"/>
      <c r="B186" s="55"/>
      <c r="C186" s="27"/>
      <c r="D186" s="72"/>
      <c r="E186" s="4"/>
      <c r="F186" s="5"/>
      <c r="G186" s="6"/>
      <c r="H186" s="37"/>
      <c r="I186" s="8"/>
      <c r="J186" s="58"/>
      <c r="K186" s="9"/>
      <c r="L186" s="26"/>
      <c r="M186" s="26"/>
      <c r="N186" s="26"/>
    </row>
    <row r="187" ht="31.5" hidden="1" customHeight="1">
      <c r="A187" s="43" t="s">
        <v>518</v>
      </c>
      <c r="B187" s="13"/>
      <c r="C187" s="13"/>
      <c r="D187" s="12"/>
      <c r="E187" s="20"/>
      <c r="F187" s="21"/>
      <c r="G187" s="14"/>
      <c r="H187" s="11"/>
      <c r="I187" s="15"/>
      <c r="J187" s="15"/>
      <c r="K187" s="16"/>
      <c r="L187" s="26"/>
      <c r="M187" s="26"/>
      <c r="N187" s="26"/>
    </row>
    <row r="188" ht="21.75" customHeight="1">
      <c r="A188" s="11" t="s">
        <v>0</v>
      </c>
      <c r="B188" s="11" t="s">
        <v>1</v>
      </c>
      <c r="C188" s="11" t="s">
        <v>2</v>
      </c>
      <c r="D188" s="12" t="s">
        <v>3</v>
      </c>
      <c r="E188" s="11" t="s">
        <v>4</v>
      </c>
      <c r="F188" s="13"/>
      <c r="G188" s="14" t="s">
        <v>5</v>
      </c>
      <c r="H188" s="11" t="s">
        <v>6</v>
      </c>
      <c r="I188" s="15" t="s">
        <v>7</v>
      </c>
      <c r="J188" s="15" t="s">
        <v>8</v>
      </c>
      <c r="K188" s="16" t="s">
        <v>9</v>
      </c>
      <c r="L188" s="17"/>
      <c r="M188" s="17"/>
      <c r="N188" s="17"/>
    </row>
    <row r="189" ht="21.75" customHeight="1">
      <c r="A189" s="22" t="s">
        <v>519</v>
      </c>
      <c r="B189" s="27" t="s">
        <v>520</v>
      </c>
      <c r="C189" s="27" t="s">
        <v>521</v>
      </c>
      <c r="D189" s="77"/>
      <c r="E189" s="4">
        <v>1.0</v>
      </c>
      <c r="F189" s="5" t="s">
        <v>15</v>
      </c>
      <c r="G189" s="25">
        <v>6400.0</v>
      </c>
      <c r="H189" s="32" t="s">
        <v>254</v>
      </c>
      <c r="I189" s="31">
        <v>8300.0</v>
      </c>
      <c r="J189" s="31">
        <f t="shared" ref="J189:J190" si="6">G189*11/12</f>
        <v>5866.666667</v>
      </c>
      <c r="K189" s="78" t="s">
        <v>522</v>
      </c>
      <c r="L189" s="26"/>
      <c r="M189" s="26"/>
      <c r="N189" s="26"/>
    </row>
    <row r="190" ht="21.75" customHeight="1">
      <c r="A190" s="79" t="s">
        <v>523</v>
      </c>
      <c r="B190" s="27" t="s">
        <v>524</v>
      </c>
      <c r="C190" s="27" t="s">
        <v>525</v>
      </c>
      <c r="D190" s="77"/>
      <c r="E190" s="4">
        <v>1.0</v>
      </c>
      <c r="F190" s="5" t="s">
        <v>15</v>
      </c>
      <c r="G190" s="25">
        <v>5800.0</v>
      </c>
      <c r="H190" s="32" t="s">
        <v>254</v>
      </c>
      <c r="I190" s="33">
        <v>8500.0</v>
      </c>
      <c r="J190" s="33">
        <f t="shared" si="6"/>
        <v>5316.666667</v>
      </c>
      <c r="K190" s="80"/>
      <c r="L190" s="26"/>
      <c r="M190" s="26"/>
      <c r="N190" s="26"/>
    </row>
    <row r="191" ht="21.75" hidden="1" customHeight="1">
      <c r="A191" s="38" t="s">
        <v>526</v>
      </c>
      <c r="B191" s="30" t="s">
        <v>527</v>
      </c>
      <c r="C191" s="27" t="s">
        <v>528</v>
      </c>
      <c r="D191" s="77">
        <v>0.447</v>
      </c>
      <c r="E191" s="4"/>
      <c r="F191" s="5"/>
      <c r="G191" s="25">
        <v>6200.0</v>
      </c>
      <c r="H191" s="32"/>
      <c r="I191" s="31">
        <v>8800.0</v>
      </c>
      <c r="J191" s="33"/>
      <c r="K191" s="80"/>
      <c r="L191" s="26"/>
      <c r="M191" s="26"/>
      <c r="N191" s="26"/>
    </row>
    <row r="192" ht="21.75" hidden="1" customHeight="1">
      <c r="A192" s="38" t="s">
        <v>529</v>
      </c>
      <c r="B192" s="30" t="s">
        <v>530</v>
      </c>
      <c r="C192" s="27" t="s">
        <v>531</v>
      </c>
      <c r="D192" s="77">
        <v>0.457</v>
      </c>
      <c r="E192" s="4"/>
      <c r="F192" s="5"/>
      <c r="G192" s="25">
        <v>6100.0</v>
      </c>
      <c r="H192" s="32"/>
      <c r="I192" s="31">
        <v>8700.0</v>
      </c>
      <c r="J192" s="33"/>
      <c r="K192" s="80"/>
      <c r="L192" s="26"/>
      <c r="M192" s="26"/>
      <c r="N192" s="26"/>
    </row>
    <row r="193" ht="21.75" customHeight="1">
      <c r="A193" s="38" t="s">
        <v>532</v>
      </c>
      <c r="B193" s="30" t="s">
        <v>533</v>
      </c>
      <c r="C193" s="27" t="s">
        <v>534</v>
      </c>
      <c r="D193" s="77">
        <v>0.454</v>
      </c>
      <c r="E193" s="4">
        <v>6.0</v>
      </c>
      <c r="F193" s="5" t="s">
        <v>15</v>
      </c>
      <c r="G193" s="25">
        <v>5900.0</v>
      </c>
      <c r="H193" s="32"/>
      <c r="I193" s="31">
        <v>8600.0</v>
      </c>
      <c r="J193" s="33"/>
      <c r="K193" s="80"/>
      <c r="L193" s="26"/>
      <c r="M193" s="26"/>
      <c r="N193" s="26"/>
    </row>
    <row r="194" ht="21.75" customHeight="1">
      <c r="A194" s="38" t="s">
        <v>535</v>
      </c>
      <c r="B194" s="30" t="s">
        <v>536</v>
      </c>
      <c r="C194" s="27" t="s">
        <v>537</v>
      </c>
      <c r="D194" s="77">
        <v>0.499</v>
      </c>
      <c r="E194" s="4">
        <v>4.0</v>
      </c>
      <c r="F194" s="5" t="s">
        <v>15</v>
      </c>
      <c r="G194" s="25">
        <v>5800.0</v>
      </c>
      <c r="H194" s="32"/>
      <c r="I194" s="31">
        <v>8500.0</v>
      </c>
      <c r="J194" s="33"/>
      <c r="K194" s="80"/>
      <c r="L194" s="26"/>
      <c r="M194" s="26"/>
      <c r="N194" s="26"/>
    </row>
    <row r="195" ht="21.75" customHeight="1">
      <c r="A195" s="38" t="s">
        <v>538</v>
      </c>
      <c r="B195" s="30" t="s">
        <v>539</v>
      </c>
      <c r="C195" s="27" t="s">
        <v>540</v>
      </c>
      <c r="D195" s="77">
        <v>0.478</v>
      </c>
      <c r="E195" s="4">
        <v>4.0</v>
      </c>
      <c r="F195" s="5" t="s">
        <v>15</v>
      </c>
      <c r="G195" s="25">
        <v>5700.0</v>
      </c>
      <c r="H195" s="32"/>
      <c r="I195" s="31">
        <v>8400.0</v>
      </c>
      <c r="J195" s="33"/>
      <c r="K195" s="80"/>
      <c r="L195" s="26"/>
      <c r="M195" s="26"/>
      <c r="N195" s="26"/>
    </row>
    <row r="196" ht="21.75" customHeight="1">
      <c r="A196" s="38" t="s">
        <v>541</v>
      </c>
      <c r="B196" s="30" t="s">
        <v>542</v>
      </c>
      <c r="C196" s="27" t="s">
        <v>543</v>
      </c>
      <c r="D196" s="77">
        <v>0.471</v>
      </c>
      <c r="E196" s="4">
        <v>6.0</v>
      </c>
      <c r="F196" s="5" t="s">
        <v>15</v>
      </c>
      <c r="G196" s="25">
        <v>5600.0</v>
      </c>
      <c r="H196" s="32"/>
      <c r="I196" s="31">
        <v>8300.0</v>
      </c>
      <c r="J196" s="33"/>
      <c r="K196" s="80"/>
      <c r="L196" s="26"/>
      <c r="M196" s="26"/>
      <c r="N196" s="26"/>
    </row>
    <row r="197" ht="21.75" customHeight="1">
      <c r="A197" s="22" t="s">
        <v>544</v>
      </c>
      <c r="B197" s="27" t="s">
        <v>545</v>
      </c>
      <c r="C197" s="27" t="s">
        <v>546</v>
      </c>
      <c r="D197" s="3"/>
      <c r="E197" s="4">
        <v>4.0</v>
      </c>
      <c r="F197" s="5" t="s">
        <v>15</v>
      </c>
      <c r="G197" s="25">
        <v>6100.0</v>
      </c>
      <c r="H197" s="32" t="s">
        <v>254</v>
      </c>
      <c r="I197" s="31">
        <v>9000.0</v>
      </c>
      <c r="J197" s="33">
        <f>G197*11/12</f>
        <v>5591.666667</v>
      </c>
      <c r="K197" s="80"/>
      <c r="L197" s="26"/>
      <c r="M197" s="26"/>
      <c r="N197" s="26"/>
    </row>
    <row r="198" ht="21.75" customHeight="1">
      <c r="A198" s="22" t="s">
        <v>547</v>
      </c>
      <c r="B198" s="27" t="s">
        <v>548</v>
      </c>
      <c r="C198" s="27" t="s">
        <v>549</v>
      </c>
      <c r="D198" s="77"/>
      <c r="E198" s="4">
        <v>2.0</v>
      </c>
      <c r="F198" s="5" t="s">
        <v>15</v>
      </c>
      <c r="G198" s="25">
        <v>4300.0</v>
      </c>
      <c r="H198" s="32"/>
      <c r="I198" s="31">
        <v>8000.0</v>
      </c>
      <c r="J198" s="33"/>
      <c r="K198" s="80"/>
      <c r="L198" s="26"/>
      <c r="M198" s="26"/>
      <c r="N198" s="26"/>
    </row>
    <row r="199" ht="21.75" customHeight="1">
      <c r="A199" s="38" t="s">
        <v>550</v>
      </c>
      <c r="B199" s="30" t="s">
        <v>551</v>
      </c>
      <c r="C199" s="27" t="s">
        <v>552</v>
      </c>
      <c r="D199" s="77">
        <v>0.493</v>
      </c>
      <c r="E199" s="4">
        <v>22.0</v>
      </c>
      <c r="F199" s="5" t="s">
        <v>15</v>
      </c>
      <c r="G199" s="25">
        <v>5900.0</v>
      </c>
      <c r="H199" s="32"/>
      <c r="I199" s="31">
        <v>8800.0</v>
      </c>
      <c r="J199" s="33"/>
      <c r="K199" s="80"/>
      <c r="L199" s="26"/>
      <c r="M199" s="26"/>
      <c r="N199" s="26"/>
    </row>
    <row r="200" ht="21.75" customHeight="1">
      <c r="A200" s="38" t="s">
        <v>553</v>
      </c>
      <c r="B200" s="30" t="s">
        <v>554</v>
      </c>
      <c r="C200" s="27" t="s">
        <v>555</v>
      </c>
      <c r="D200" s="77">
        <v>0.472</v>
      </c>
      <c r="E200" s="4">
        <v>11.0</v>
      </c>
      <c r="F200" s="5" t="s">
        <v>15</v>
      </c>
      <c r="G200" s="25">
        <v>8800.0</v>
      </c>
      <c r="H200" s="32"/>
      <c r="I200" s="31">
        <v>12800.0</v>
      </c>
      <c r="J200" s="33"/>
      <c r="K200" s="80"/>
      <c r="L200" s="26"/>
      <c r="M200" s="26"/>
      <c r="N200" s="26"/>
    </row>
    <row r="201" ht="21.75" customHeight="1">
      <c r="A201" s="38" t="s">
        <v>556</v>
      </c>
      <c r="B201" s="30" t="s">
        <v>557</v>
      </c>
      <c r="C201" s="27" t="s">
        <v>558</v>
      </c>
      <c r="D201" s="77">
        <v>0.507</v>
      </c>
      <c r="E201" s="4">
        <v>31.0</v>
      </c>
      <c r="F201" s="5" t="s">
        <v>15</v>
      </c>
      <c r="G201" s="25">
        <v>3800.0</v>
      </c>
      <c r="H201" s="32"/>
      <c r="I201" s="31">
        <v>5600.0</v>
      </c>
      <c r="J201" s="33"/>
      <c r="K201" s="80"/>
      <c r="L201" s="26"/>
      <c r="M201" s="26"/>
      <c r="N201" s="26"/>
    </row>
    <row r="202" ht="21.75" customHeight="1">
      <c r="A202" s="22" t="s">
        <v>559</v>
      </c>
      <c r="B202" s="27" t="s">
        <v>560</v>
      </c>
      <c r="C202" s="27" t="s">
        <v>561</v>
      </c>
      <c r="D202" s="77"/>
      <c r="E202" s="4">
        <v>12.0</v>
      </c>
      <c r="F202" s="5" t="s">
        <v>15</v>
      </c>
      <c r="G202" s="25">
        <v>15000.0</v>
      </c>
      <c r="H202" s="32" t="s">
        <v>254</v>
      </c>
      <c r="I202" s="31">
        <v>22000.0</v>
      </c>
      <c r="J202" s="33">
        <f>G202*11/12</f>
        <v>13750</v>
      </c>
      <c r="K202" s="80"/>
      <c r="L202" s="26"/>
      <c r="M202" s="26"/>
      <c r="N202" s="26"/>
    </row>
    <row r="203" ht="21.75" customHeight="1">
      <c r="A203" s="38" t="s">
        <v>562</v>
      </c>
      <c r="B203" s="30" t="s">
        <v>563</v>
      </c>
      <c r="C203" s="27" t="s">
        <v>564</v>
      </c>
      <c r="D203" s="77">
        <v>0.42</v>
      </c>
      <c r="E203" s="4">
        <v>20.0</v>
      </c>
      <c r="F203" s="5" t="s">
        <v>15</v>
      </c>
      <c r="G203" s="25">
        <v>1350.0</v>
      </c>
      <c r="H203" s="32"/>
      <c r="I203" s="31">
        <v>1980.0</v>
      </c>
      <c r="J203" s="33"/>
      <c r="K203" s="80"/>
      <c r="L203" s="26"/>
      <c r="M203" s="26"/>
      <c r="N203" s="26"/>
    </row>
    <row r="204" ht="21.75" customHeight="1">
      <c r="A204" s="38" t="s">
        <v>565</v>
      </c>
      <c r="B204" s="30" t="s">
        <v>566</v>
      </c>
      <c r="C204" s="27" t="s">
        <v>567</v>
      </c>
      <c r="D204" s="77">
        <v>0.57</v>
      </c>
      <c r="E204" s="4">
        <v>16.0</v>
      </c>
      <c r="F204" s="5" t="s">
        <v>15</v>
      </c>
      <c r="G204" s="25">
        <v>1500.0</v>
      </c>
      <c r="H204" s="32"/>
      <c r="I204" s="31">
        <v>2180.0</v>
      </c>
      <c r="J204" s="33"/>
      <c r="K204" s="80"/>
      <c r="L204" s="26"/>
      <c r="M204" s="26"/>
      <c r="N204" s="26"/>
    </row>
    <row r="205" ht="21.75" customHeight="1">
      <c r="A205" s="22" t="s">
        <v>568</v>
      </c>
      <c r="B205" s="27" t="s">
        <v>569</v>
      </c>
      <c r="C205" s="27" t="s">
        <v>570</v>
      </c>
      <c r="D205" s="3"/>
      <c r="E205" s="4">
        <v>47.0</v>
      </c>
      <c r="F205" s="5" t="s">
        <v>15</v>
      </c>
      <c r="G205" s="25">
        <v>1580.0</v>
      </c>
      <c r="H205" s="32" t="s">
        <v>254</v>
      </c>
      <c r="I205" s="31">
        <v>2680.0</v>
      </c>
      <c r="J205" s="33">
        <f>G205*11/12</f>
        <v>1448.333333</v>
      </c>
      <c r="K205" s="80"/>
      <c r="L205" s="26"/>
      <c r="M205" s="26"/>
      <c r="N205" s="26"/>
    </row>
    <row r="206" ht="21.75" hidden="1" customHeight="1">
      <c r="A206" s="22" t="s">
        <v>571</v>
      </c>
      <c r="B206" s="27" t="s">
        <v>572</v>
      </c>
      <c r="C206" s="27" t="s">
        <v>573</v>
      </c>
      <c r="D206" s="28"/>
      <c r="E206" s="4"/>
      <c r="F206" s="5"/>
      <c r="G206" s="25">
        <v>1300.0</v>
      </c>
      <c r="H206" s="32" t="s">
        <v>250</v>
      </c>
      <c r="I206" s="31">
        <v>2380.0</v>
      </c>
      <c r="J206" s="33"/>
      <c r="K206" s="80"/>
      <c r="L206" s="26"/>
      <c r="M206" s="26"/>
      <c r="N206" s="26"/>
    </row>
    <row r="207" ht="21.75" hidden="1" customHeight="1">
      <c r="A207" s="22" t="s">
        <v>574</v>
      </c>
      <c r="B207" s="27" t="s">
        <v>548</v>
      </c>
      <c r="C207" s="27" t="s">
        <v>575</v>
      </c>
      <c r="D207" s="28"/>
      <c r="E207" s="4"/>
      <c r="F207" s="5"/>
      <c r="G207" s="25">
        <v>2450.0</v>
      </c>
      <c r="H207" s="32" t="s">
        <v>250</v>
      </c>
      <c r="I207" s="31">
        <v>4500.0</v>
      </c>
      <c r="J207" s="33"/>
      <c r="K207" s="80"/>
      <c r="L207" s="26"/>
      <c r="M207" s="26"/>
      <c r="N207" s="26"/>
    </row>
    <row r="208" ht="21.75" hidden="1" customHeight="1">
      <c r="A208" s="22" t="s">
        <v>576</v>
      </c>
      <c r="B208" s="27" t="s">
        <v>577</v>
      </c>
      <c r="C208" s="27" t="s">
        <v>578</v>
      </c>
      <c r="D208" s="81"/>
      <c r="E208" s="4"/>
      <c r="F208" s="5"/>
      <c r="G208" s="25">
        <v>1900.0</v>
      </c>
      <c r="H208" s="32" t="s">
        <v>250</v>
      </c>
      <c r="I208" s="31">
        <v>3500.0</v>
      </c>
      <c r="J208" s="33"/>
      <c r="K208" s="80"/>
      <c r="L208" s="26"/>
      <c r="M208" s="26"/>
      <c r="N208" s="26"/>
    </row>
    <row r="209" ht="21.75" hidden="1" customHeight="1">
      <c r="A209" s="22" t="s">
        <v>579</v>
      </c>
      <c r="B209" s="27" t="s">
        <v>580</v>
      </c>
      <c r="C209" s="27" t="s">
        <v>581</v>
      </c>
      <c r="D209" s="3"/>
      <c r="E209" s="4"/>
      <c r="F209" s="5"/>
      <c r="G209" s="25">
        <v>3250.0</v>
      </c>
      <c r="H209" s="32" t="s">
        <v>250</v>
      </c>
      <c r="I209" s="31">
        <v>5980.0</v>
      </c>
      <c r="J209" s="33"/>
      <c r="K209" s="80"/>
      <c r="L209" s="26"/>
      <c r="M209" s="26"/>
      <c r="N209" s="26"/>
    </row>
    <row r="210" ht="21.75" hidden="1" customHeight="1">
      <c r="A210" s="22"/>
      <c r="B210" s="2"/>
      <c r="C210" s="2"/>
      <c r="D210" s="42"/>
      <c r="E210" s="4"/>
      <c r="F210" s="5"/>
      <c r="G210" s="25"/>
      <c r="H210" s="32"/>
      <c r="I210" s="33"/>
      <c r="J210" s="33"/>
      <c r="K210" s="82"/>
      <c r="L210" s="26"/>
      <c r="M210" s="26"/>
      <c r="N210" s="26"/>
    </row>
    <row r="211" ht="31.5" hidden="1" customHeight="1">
      <c r="A211" s="43" t="s">
        <v>582</v>
      </c>
      <c r="B211" s="13"/>
      <c r="C211" s="13"/>
      <c r="D211" s="12"/>
      <c r="E211" s="20"/>
      <c r="F211" s="21"/>
      <c r="G211" s="14"/>
      <c r="H211" s="11"/>
      <c r="I211" s="15"/>
      <c r="J211" s="15"/>
      <c r="K211" s="16"/>
      <c r="L211" s="26"/>
      <c r="M211" s="26"/>
      <c r="N211" s="26"/>
    </row>
    <row r="212" ht="21.75" customHeight="1">
      <c r="A212" s="11" t="s">
        <v>0</v>
      </c>
      <c r="B212" s="11" t="s">
        <v>1</v>
      </c>
      <c r="C212" s="11" t="s">
        <v>2</v>
      </c>
      <c r="D212" s="12" t="s">
        <v>3</v>
      </c>
      <c r="E212" s="11" t="s">
        <v>4</v>
      </c>
      <c r="F212" s="13"/>
      <c r="G212" s="14" t="s">
        <v>5</v>
      </c>
      <c r="H212" s="11" t="s">
        <v>6</v>
      </c>
      <c r="I212" s="15" t="s">
        <v>7</v>
      </c>
      <c r="J212" s="15" t="s">
        <v>8</v>
      </c>
      <c r="K212" s="16" t="s">
        <v>9</v>
      </c>
      <c r="L212" s="17"/>
      <c r="M212" s="17"/>
      <c r="N212" s="17"/>
    </row>
    <row r="213" ht="21.75" customHeight="1">
      <c r="A213" s="53" t="s">
        <v>583</v>
      </c>
      <c r="B213" s="27" t="s">
        <v>584</v>
      </c>
      <c r="C213" s="27" t="s">
        <v>585</v>
      </c>
      <c r="D213" s="42"/>
      <c r="E213" s="4">
        <v>151.0</v>
      </c>
      <c r="F213" s="5" t="s">
        <v>15</v>
      </c>
      <c r="G213" s="25">
        <v>1100.0</v>
      </c>
      <c r="H213" s="32" t="s">
        <v>254</v>
      </c>
      <c r="I213" s="33">
        <v>1480.0</v>
      </c>
      <c r="J213" s="33">
        <f t="shared" ref="J213:J215" si="7">G213*11/12</f>
        <v>1008.333333</v>
      </c>
      <c r="K213" s="82">
        <v>1250.0</v>
      </c>
      <c r="L213" s="26"/>
      <c r="M213" s="26"/>
      <c r="N213" s="26"/>
    </row>
    <row r="214" ht="21.75" customHeight="1">
      <c r="A214" s="53" t="s">
        <v>586</v>
      </c>
      <c r="B214" s="27" t="s">
        <v>587</v>
      </c>
      <c r="C214" s="27" t="s">
        <v>588</v>
      </c>
      <c r="D214" s="42"/>
      <c r="E214" s="4">
        <v>96.0</v>
      </c>
      <c r="F214" s="5" t="s">
        <v>15</v>
      </c>
      <c r="G214" s="25">
        <v>1350.0</v>
      </c>
      <c r="H214" s="32" t="s">
        <v>254</v>
      </c>
      <c r="I214" s="33">
        <v>1780.0</v>
      </c>
      <c r="J214" s="33">
        <f t="shared" si="7"/>
        <v>1237.5</v>
      </c>
      <c r="K214" s="82">
        <v>1500.0</v>
      </c>
      <c r="L214" s="26"/>
      <c r="M214" s="26"/>
      <c r="N214" s="26"/>
    </row>
    <row r="215" ht="21.75" customHeight="1">
      <c r="A215" s="53" t="s">
        <v>589</v>
      </c>
      <c r="B215" s="27" t="s">
        <v>590</v>
      </c>
      <c r="C215" s="27" t="s">
        <v>591</v>
      </c>
      <c r="D215" s="42"/>
      <c r="E215" s="4">
        <v>189.0</v>
      </c>
      <c r="F215" s="5" t="s">
        <v>15</v>
      </c>
      <c r="G215" s="25">
        <v>1500.0</v>
      </c>
      <c r="H215" s="32" t="s">
        <v>254</v>
      </c>
      <c r="I215" s="33">
        <v>1980.0</v>
      </c>
      <c r="J215" s="33">
        <f t="shared" si="7"/>
        <v>1375</v>
      </c>
      <c r="K215" s="82">
        <v>1650.0</v>
      </c>
      <c r="L215" s="26"/>
      <c r="M215" s="26"/>
      <c r="N215" s="26"/>
    </row>
    <row r="216" ht="21.75" customHeight="1">
      <c r="A216" s="53" t="s">
        <v>592</v>
      </c>
      <c r="B216" s="27" t="s">
        <v>593</v>
      </c>
      <c r="C216" s="27" t="s">
        <v>594</v>
      </c>
      <c r="D216" s="42"/>
      <c r="E216" s="4">
        <v>220.0</v>
      </c>
      <c r="F216" s="5" t="s">
        <v>15</v>
      </c>
      <c r="G216" s="25">
        <v>1500.0</v>
      </c>
      <c r="H216" s="32" t="s">
        <v>254</v>
      </c>
      <c r="I216" s="33">
        <v>1980.0</v>
      </c>
      <c r="J216" s="33">
        <v>1375.0</v>
      </c>
      <c r="K216" s="82">
        <v>1650.0</v>
      </c>
      <c r="L216" s="26"/>
      <c r="M216" s="26"/>
      <c r="N216" s="26"/>
    </row>
    <row r="217" ht="21.75" customHeight="1">
      <c r="A217" s="53" t="s">
        <v>595</v>
      </c>
      <c r="B217" s="27" t="s">
        <v>596</v>
      </c>
      <c r="C217" s="27" t="s">
        <v>597</v>
      </c>
      <c r="D217" s="42"/>
      <c r="E217" s="4">
        <v>851.0</v>
      </c>
      <c r="F217" s="5" t="s">
        <v>15</v>
      </c>
      <c r="G217" s="25">
        <v>1650.0</v>
      </c>
      <c r="H217" s="32" t="s">
        <v>254</v>
      </c>
      <c r="I217" s="33">
        <v>2080.0</v>
      </c>
      <c r="J217" s="33">
        <v>1513.0</v>
      </c>
      <c r="K217" s="82">
        <v>1750.0</v>
      </c>
      <c r="L217" s="26"/>
      <c r="M217" s="26"/>
      <c r="N217" s="26"/>
    </row>
    <row r="218" ht="21.75" hidden="1" customHeight="1">
      <c r="A218" s="53" t="s">
        <v>598</v>
      </c>
      <c r="B218" s="27" t="s">
        <v>599</v>
      </c>
      <c r="C218" s="27" t="s">
        <v>600</v>
      </c>
      <c r="D218" s="42"/>
      <c r="E218" s="4"/>
      <c r="F218" s="5"/>
      <c r="G218" s="25">
        <v>4940.0</v>
      </c>
      <c r="H218" s="32" t="s">
        <v>250</v>
      </c>
      <c r="I218" s="33">
        <v>5500.0</v>
      </c>
      <c r="J218" s="33"/>
      <c r="K218" s="82"/>
      <c r="L218" s="26"/>
      <c r="M218" s="26"/>
      <c r="N218" s="26"/>
    </row>
    <row r="219" ht="21.75" hidden="1" customHeight="1">
      <c r="A219" s="22"/>
      <c r="B219" s="2"/>
      <c r="C219" s="2"/>
      <c r="D219" s="42"/>
      <c r="E219" s="4"/>
      <c r="F219" s="5"/>
      <c r="G219" s="25"/>
      <c r="H219" s="32"/>
      <c r="I219" s="33"/>
      <c r="J219" s="33"/>
      <c r="K219" s="82"/>
      <c r="L219" s="26"/>
      <c r="M219" s="26"/>
      <c r="N219" s="26"/>
    </row>
    <row r="220" ht="31.5" hidden="1" customHeight="1">
      <c r="A220" s="63" t="s">
        <v>601</v>
      </c>
      <c r="B220" s="13"/>
      <c r="C220" s="11"/>
      <c r="D220" s="12"/>
      <c r="E220" s="20"/>
      <c r="F220" s="21"/>
      <c r="G220" s="14"/>
      <c r="H220" s="11"/>
      <c r="I220" s="15"/>
      <c r="J220" s="15"/>
      <c r="K220" s="16"/>
      <c r="L220" s="26"/>
      <c r="M220" s="26"/>
      <c r="N220" s="26"/>
    </row>
    <row r="221" ht="21.75" customHeight="1">
      <c r="A221" s="11" t="s">
        <v>0</v>
      </c>
      <c r="B221" s="11" t="s">
        <v>1</v>
      </c>
      <c r="C221" s="11" t="s">
        <v>2</v>
      </c>
      <c r="D221" s="12" t="s">
        <v>3</v>
      </c>
      <c r="E221" s="11" t="s">
        <v>4</v>
      </c>
      <c r="F221" s="13"/>
      <c r="G221" s="14" t="s">
        <v>5</v>
      </c>
      <c r="H221" s="11" t="s">
        <v>6</v>
      </c>
      <c r="I221" s="15" t="s">
        <v>7</v>
      </c>
      <c r="J221" s="15" t="s">
        <v>8</v>
      </c>
      <c r="K221" s="16" t="s">
        <v>9</v>
      </c>
      <c r="L221" s="17"/>
      <c r="M221" s="17"/>
      <c r="N221" s="17"/>
    </row>
    <row r="222" ht="21.75" customHeight="1">
      <c r="A222" s="27" t="s">
        <v>602</v>
      </c>
      <c r="B222" s="22" t="s">
        <v>603</v>
      </c>
      <c r="C222" s="27" t="s">
        <v>604</v>
      </c>
      <c r="D222" s="32"/>
      <c r="E222" s="69">
        <v>1.0</v>
      </c>
      <c r="F222" s="29" t="s">
        <v>15</v>
      </c>
      <c r="G222" s="25">
        <v>1080.0</v>
      </c>
      <c r="H222" s="32" t="s">
        <v>254</v>
      </c>
      <c r="I222" s="25">
        <v>2300.0</v>
      </c>
      <c r="J222" s="58">
        <v>990.0</v>
      </c>
      <c r="K222" s="33"/>
      <c r="L222" s="26"/>
      <c r="M222" s="26"/>
      <c r="N222" s="26"/>
    </row>
    <row r="223" ht="21.75" hidden="1" customHeight="1">
      <c r="A223" s="27" t="s">
        <v>605</v>
      </c>
      <c r="B223" s="22" t="s">
        <v>606</v>
      </c>
      <c r="C223" s="27" t="s">
        <v>604</v>
      </c>
      <c r="D223" s="32"/>
      <c r="E223" s="69"/>
      <c r="F223" s="29"/>
      <c r="G223" s="25">
        <v>1080.0</v>
      </c>
      <c r="H223" s="32" t="s">
        <v>254</v>
      </c>
      <c r="I223" s="25">
        <v>2300.0</v>
      </c>
      <c r="J223" s="58">
        <f t="shared" ref="J223:J224" si="8">G223*11/12</f>
        <v>990</v>
      </c>
      <c r="K223" s="33"/>
      <c r="L223" s="26"/>
      <c r="M223" s="26"/>
      <c r="N223" s="26"/>
    </row>
    <row r="224" ht="21.75" hidden="1" customHeight="1">
      <c r="A224" s="27" t="s">
        <v>607</v>
      </c>
      <c r="B224" s="22" t="s">
        <v>608</v>
      </c>
      <c r="C224" s="27" t="s">
        <v>604</v>
      </c>
      <c r="D224" s="32"/>
      <c r="E224" s="69"/>
      <c r="F224" s="29"/>
      <c r="G224" s="25">
        <v>1120.0</v>
      </c>
      <c r="H224" s="32" t="s">
        <v>254</v>
      </c>
      <c r="I224" s="25">
        <v>2300.0</v>
      </c>
      <c r="J224" s="58">
        <f t="shared" si="8"/>
        <v>1026.666667</v>
      </c>
      <c r="K224" s="33"/>
      <c r="L224" s="26"/>
      <c r="M224" s="26"/>
      <c r="N224" s="26"/>
    </row>
    <row r="225" ht="21.75" hidden="1" customHeight="1">
      <c r="A225" s="27" t="s">
        <v>609</v>
      </c>
      <c r="B225" s="22" t="s">
        <v>610</v>
      </c>
      <c r="C225" s="27" t="s">
        <v>604</v>
      </c>
      <c r="D225" s="32"/>
      <c r="E225" s="69"/>
      <c r="F225" s="29"/>
      <c r="G225" s="25">
        <v>1150.0</v>
      </c>
      <c r="H225" s="32" t="s">
        <v>254</v>
      </c>
      <c r="I225" s="25">
        <v>2300.0</v>
      </c>
      <c r="J225" s="58">
        <v>1054.0</v>
      </c>
      <c r="K225" s="33"/>
      <c r="L225" s="26"/>
      <c r="M225" s="26"/>
      <c r="N225" s="26"/>
    </row>
    <row r="226" ht="21.75" customHeight="1">
      <c r="A226" s="27" t="s">
        <v>611</v>
      </c>
      <c r="B226" s="22" t="s">
        <v>612</v>
      </c>
      <c r="C226" s="27" t="s">
        <v>613</v>
      </c>
      <c r="D226" s="32"/>
      <c r="E226" s="69">
        <v>590.0</v>
      </c>
      <c r="F226" s="29" t="s">
        <v>15</v>
      </c>
      <c r="G226" s="25">
        <v>1150.0</v>
      </c>
      <c r="H226" s="32" t="s">
        <v>254</v>
      </c>
      <c r="I226" s="25">
        <v>2300.0</v>
      </c>
      <c r="J226" s="58">
        <v>1054.0</v>
      </c>
      <c r="K226" s="33"/>
      <c r="L226" s="26"/>
      <c r="M226" s="26"/>
      <c r="N226" s="26"/>
    </row>
    <row r="227" ht="21.75" hidden="1" customHeight="1">
      <c r="A227" s="27" t="s">
        <v>614</v>
      </c>
      <c r="B227" s="22" t="s">
        <v>615</v>
      </c>
      <c r="C227" s="27" t="s">
        <v>616</v>
      </c>
      <c r="D227" s="28"/>
      <c r="E227" s="69"/>
      <c r="F227" s="29"/>
      <c r="G227" s="25">
        <v>210.0</v>
      </c>
      <c r="H227" s="32" t="s">
        <v>254</v>
      </c>
      <c r="I227" s="25">
        <v>500.0</v>
      </c>
      <c r="J227" s="58">
        <v>193.0</v>
      </c>
      <c r="K227" s="33"/>
      <c r="L227" s="26"/>
      <c r="M227" s="26"/>
      <c r="N227" s="26"/>
    </row>
    <row r="228" ht="21.75" customHeight="1">
      <c r="A228" s="27" t="s">
        <v>617</v>
      </c>
      <c r="B228" s="22" t="s">
        <v>618</v>
      </c>
      <c r="C228" s="27" t="s">
        <v>619</v>
      </c>
      <c r="D228" s="28"/>
      <c r="E228" s="69">
        <v>2137.0</v>
      </c>
      <c r="F228" s="29" t="s">
        <v>15</v>
      </c>
      <c r="G228" s="25">
        <v>210.0</v>
      </c>
      <c r="H228" s="32" t="s">
        <v>254</v>
      </c>
      <c r="I228" s="25">
        <v>500.0</v>
      </c>
      <c r="J228" s="58">
        <v>193.0</v>
      </c>
      <c r="K228" s="33"/>
      <c r="L228" s="26"/>
      <c r="M228" s="26"/>
      <c r="N228" s="26"/>
    </row>
    <row r="229" ht="12.75" customHeight="1">
      <c r="A229" s="53" t="s">
        <v>620</v>
      </c>
      <c r="B229" s="22" t="s">
        <v>621</v>
      </c>
      <c r="C229" s="27" t="s">
        <v>622</v>
      </c>
      <c r="D229" s="81"/>
      <c r="E229" s="69">
        <v>734.0</v>
      </c>
      <c r="F229" s="29" t="s">
        <v>15</v>
      </c>
      <c r="G229" s="25">
        <v>210.0</v>
      </c>
      <c r="H229" s="52" t="s">
        <v>623</v>
      </c>
      <c r="I229" s="25">
        <v>500.0</v>
      </c>
      <c r="J229" s="58">
        <v>180.0</v>
      </c>
      <c r="K229" s="33"/>
      <c r="L229" s="26"/>
      <c r="M229" s="26"/>
      <c r="N229" s="26"/>
    </row>
    <row r="230" ht="12.75" customHeight="1">
      <c r="A230" s="53" t="s">
        <v>624</v>
      </c>
      <c r="B230" s="22" t="s">
        <v>625</v>
      </c>
      <c r="C230" s="27" t="s">
        <v>626</v>
      </c>
      <c r="D230" s="81"/>
      <c r="E230" s="69">
        <v>3600.0</v>
      </c>
      <c r="F230" s="29" t="s">
        <v>15</v>
      </c>
      <c r="G230" s="25">
        <v>210.0</v>
      </c>
      <c r="H230" s="52" t="s">
        <v>627</v>
      </c>
      <c r="I230" s="25">
        <v>500.0</v>
      </c>
      <c r="J230" s="58">
        <v>180.0</v>
      </c>
      <c r="K230" s="33"/>
      <c r="L230" s="26"/>
      <c r="M230" s="26"/>
      <c r="N230" s="26"/>
    </row>
    <row r="231" ht="21.75" customHeight="1">
      <c r="A231" s="53" t="s">
        <v>628</v>
      </c>
      <c r="B231" s="22" t="s">
        <v>629</v>
      </c>
      <c r="C231" s="27" t="s">
        <v>630</v>
      </c>
      <c r="D231" s="81"/>
      <c r="E231" s="69">
        <v>51.0</v>
      </c>
      <c r="F231" s="29" t="s">
        <v>15</v>
      </c>
      <c r="G231" s="25">
        <v>370.0</v>
      </c>
      <c r="H231" s="32" t="s">
        <v>254</v>
      </c>
      <c r="I231" s="25">
        <v>750.0</v>
      </c>
      <c r="J231" s="58">
        <f>G231*11/12</f>
        <v>339.1666667</v>
      </c>
      <c r="K231" s="33"/>
      <c r="L231" s="26"/>
      <c r="M231" s="26"/>
      <c r="N231" s="26"/>
    </row>
    <row r="232" ht="12.75" hidden="1" customHeight="1">
      <c r="A232" s="27" t="s">
        <v>631</v>
      </c>
      <c r="B232" s="22" t="s">
        <v>632</v>
      </c>
      <c r="C232" s="27" t="s">
        <v>633</v>
      </c>
      <c r="D232" s="32"/>
      <c r="E232" s="69"/>
      <c r="F232" s="29"/>
      <c r="G232" s="39" t="s">
        <v>634</v>
      </c>
      <c r="H232" s="52" t="s">
        <v>635</v>
      </c>
      <c r="I232" s="25">
        <v>550.0</v>
      </c>
      <c r="J232" s="82" t="s">
        <v>636</v>
      </c>
      <c r="K232" s="33"/>
      <c r="L232" s="26"/>
      <c r="M232" s="26"/>
      <c r="N232" s="26"/>
    </row>
    <row r="233" ht="12.75" customHeight="1">
      <c r="A233" s="27" t="s">
        <v>637</v>
      </c>
      <c r="B233" s="22" t="s">
        <v>638</v>
      </c>
      <c r="C233" s="27" t="s">
        <v>633</v>
      </c>
      <c r="D233" s="32"/>
      <c r="E233" s="69">
        <v>579.0</v>
      </c>
      <c r="F233" s="29" t="s">
        <v>15</v>
      </c>
      <c r="G233" s="39" t="s">
        <v>634</v>
      </c>
      <c r="H233" s="52" t="s">
        <v>635</v>
      </c>
      <c r="I233" s="25">
        <v>550.0</v>
      </c>
      <c r="J233" s="82" t="s">
        <v>636</v>
      </c>
      <c r="K233" s="33"/>
      <c r="L233" s="26"/>
      <c r="M233" s="26"/>
      <c r="N233" s="26"/>
    </row>
    <row r="234" ht="12.75" customHeight="1">
      <c r="A234" s="27" t="s">
        <v>639</v>
      </c>
      <c r="B234" s="22" t="s">
        <v>640</v>
      </c>
      <c r="C234" s="27" t="s">
        <v>641</v>
      </c>
      <c r="D234" s="32"/>
      <c r="E234" s="69">
        <v>13.0</v>
      </c>
      <c r="F234" s="29" t="s">
        <v>15</v>
      </c>
      <c r="G234" s="39" t="s">
        <v>642</v>
      </c>
      <c r="H234" s="52" t="s">
        <v>643</v>
      </c>
      <c r="I234" s="25">
        <v>550.0</v>
      </c>
      <c r="J234" s="82" t="s">
        <v>644</v>
      </c>
      <c r="K234" s="33"/>
      <c r="L234" s="26"/>
      <c r="M234" s="26"/>
      <c r="N234" s="26"/>
    </row>
    <row r="235" ht="12.75" customHeight="1">
      <c r="A235" s="27" t="s">
        <v>645</v>
      </c>
      <c r="B235" s="22" t="s">
        <v>646</v>
      </c>
      <c r="C235" s="27" t="s">
        <v>641</v>
      </c>
      <c r="D235" s="32"/>
      <c r="E235" s="69">
        <v>10.0</v>
      </c>
      <c r="F235" s="29" t="s">
        <v>15</v>
      </c>
      <c r="G235" s="39" t="s">
        <v>642</v>
      </c>
      <c r="H235" s="52" t="s">
        <v>245</v>
      </c>
      <c r="I235" s="25">
        <v>550.0</v>
      </c>
      <c r="J235" s="82" t="s">
        <v>647</v>
      </c>
      <c r="K235" s="33"/>
      <c r="L235" s="26"/>
      <c r="M235" s="26"/>
      <c r="N235" s="26"/>
    </row>
    <row r="236" ht="12.75" customHeight="1">
      <c r="A236" s="27" t="s">
        <v>648</v>
      </c>
      <c r="B236" s="22" t="s">
        <v>649</v>
      </c>
      <c r="C236" s="27" t="s">
        <v>641</v>
      </c>
      <c r="D236" s="32"/>
      <c r="E236" s="69">
        <v>296.0</v>
      </c>
      <c r="F236" s="29" t="s">
        <v>15</v>
      </c>
      <c r="G236" s="39" t="s">
        <v>642</v>
      </c>
      <c r="H236" s="52" t="s">
        <v>245</v>
      </c>
      <c r="I236" s="25">
        <v>550.0</v>
      </c>
      <c r="J236" s="82" t="s">
        <v>647</v>
      </c>
      <c r="K236" s="33"/>
      <c r="L236" s="26"/>
      <c r="M236" s="26"/>
      <c r="N236" s="26"/>
    </row>
    <row r="237" ht="21.75" hidden="1" customHeight="1">
      <c r="A237" s="27" t="s">
        <v>650</v>
      </c>
      <c r="B237" s="22" t="s">
        <v>651</v>
      </c>
      <c r="C237" s="27" t="s">
        <v>652</v>
      </c>
      <c r="D237" s="51"/>
      <c r="E237" s="69"/>
      <c r="F237" s="29"/>
      <c r="G237" s="25">
        <v>385.0</v>
      </c>
      <c r="H237" s="32" t="s">
        <v>254</v>
      </c>
      <c r="I237" s="25">
        <v>750.0</v>
      </c>
      <c r="J237" s="58">
        <f>G237*11/12</f>
        <v>352.9166667</v>
      </c>
      <c r="K237" s="33"/>
      <c r="L237" s="26"/>
      <c r="M237" s="26"/>
      <c r="N237" s="26"/>
    </row>
    <row r="238" ht="21.75" hidden="1" customHeight="1">
      <c r="A238" s="27" t="s">
        <v>653</v>
      </c>
      <c r="B238" s="22" t="s">
        <v>654</v>
      </c>
      <c r="C238" s="27" t="s">
        <v>652</v>
      </c>
      <c r="D238" s="51"/>
      <c r="E238" s="69"/>
      <c r="F238" s="29"/>
      <c r="G238" s="25">
        <v>385.0</v>
      </c>
      <c r="H238" s="32" t="s">
        <v>254</v>
      </c>
      <c r="I238" s="25">
        <v>750.0</v>
      </c>
      <c r="J238" s="58">
        <v>353.0</v>
      </c>
      <c r="K238" s="33"/>
      <c r="L238" s="26"/>
      <c r="M238" s="26"/>
      <c r="N238" s="26"/>
    </row>
    <row r="239" ht="21.75" customHeight="1">
      <c r="A239" s="27" t="s">
        <v>655</v>
      </c>
      <c r="B239" s="22" t="s">
        <v>656</v>
      </c>
      <c r="C239" s="27" t="s">
        <v>652</v>
      </c>
      <c r="D239" s="51"/>
      <c r="E239" s="69">
        <v>1557.0</v>
      </c>
      <c r="F239" s="29" t="s">
        <v>15</v>
      </c>
      <c r="G239" s="25">
        <v>385.0</v>
      </c>
      <c r="H239" s="32" t="s">
        <v>254</v>
      </c>
      <c r="I239" s="25">
        <v>750.0</v>
      </c>
      <c r="J239" s="58">
        <v>353.0</v>
      </c>
      <c r="K239" s="33"/>
      <c r="L239" s="26"/>
      <c r="M239" s="26"/>
      <c r="N239" s="26"/>
    </row>
    <row r="240" ht="21.75" hidden="1" customHeight="1">
      <c r="A240" s="27" t="s">
        <v>657</v>
      </c>
      <c r="B240" s="22" t="s">
        <v>658</v>
      </c>
      <c r="C240" s="27" t="s">
        <v>659</v>
      </c>
      <c r="D240" s="28"/>
      <c r="E240" s="69"/>
      <c r="F240" s="29"/>
      <c r="G240" s="25">
        <v>225.0</v>
      </c>
      <c r="H240" s="32" t="s">
        <v>254</v>
      </c>
      <c r="I240" s="25">
        <v>580.0</v>
      </c>
      <c r="J240" s="58">
        <f>G240*11/12</f>
        <v>206.25</v>
      </c>
      <c r="K240" s="33"/>
      <c r="L240" s="26"/>
      <c r="M240" s="26"/>
      <c r="N240" s="26"/>
    </row>
    <row r="241" ht="21.75" hidden="1" customHeight="1">
      <c r="A241" s="27" t="s">
        <v>660</v>
      </c>
      <c r="B241" s="22" t="s">
        <v>661</v>
      </c>
      <c r="C241" s="27" t="s">
        <v>662</v>
      </c>
      <c r="D241" s="28"/>
      <c r="E241" s="69"/>
      <c r="F241" s="29"/>
      <c r="G241" s="25">
        <v>225.0</v>
      </c>
      <c r="H241" s="32" t="s">
        <v>254</v>
      </c>
      <c r="I241" s="25">
        <v>580.0</v>
      </c>
      <c r="J241" s="58">
        <v>206.0</v>
      </c>
      <c r="K241" s="33"/>
      <c r="L241" s="26"/>
      <c r="M241" s="26"/>
      <c r="N241" s="26"/>
    </row>
    <row r="242" ht="21.75" customHeight="1">
      <c r="A242" s="27" t="s">
        <v>663</v>
      </c>
      <c r="B242" s="22" t="s">
        <v>664</v>
      </c>
      <c r="C242" s="27" t="s">
        <v>662</v>
      </c>
      <c r="D242" s="28"/>
      <c r="E242" s="69">
        <v>1131.0</v>
      </c>
      <c r="F242" s="29" t="s">
        <v>15</v>
      </c>
      <c r="G242" s="25">
        <v>225.0</v>
      </c>
      <c r="H242" s="32" t="s">
        <v>254</v>
      </c>
      <c r="I242" s="25">
        <v>580.0</v>
      </c>
      <c r="J242" s="58">
        <f t="shared" ref="J242:J243" si="9">G242*11/12</f>
        <v>206.25</v>
      </c>
      <c r="K242" s="33"/>
      <c r="L242" s="26"/>
      <c r="M242" s="26"/>
      <c r="N242" s="26"/>
    </row>
    <row r="243" ht="12.75" hidden="1" customHeight="1">
      <c r="A243" s="27" t="s">
        <v>665</v>
      </c>
      <c r="B243" s="22" t="s">
        <v>666</v>
      </c>
      <c r="C243" s="27" t="s">
        <v>667</v>
      </c>
      <c r="D243" s="28"/>
      <c r="E243" s="69"/>
      <c r="F243" s="29"/>
      <c r="G243" s="25">
        <v>210.0</v>
      </c>
      <c r="H243" s="52" t="s">
        <v>668</v>
      </c>
      <c r="I243" s="25">
        <v>550.0</v>
      </c>
      <c r="J243" s="58">
        <f t="shared" si="9"/>
        <v>192.5</v>
      </c>
      <c r="K243" s="33"/>
      <c r="L243" s="26"/>
      <c r="M243" s="26"/>
      <c r="N243" s="26"/>
    </row>
    <row r="244" ht="12.75" hidden="1" customHeight="1">
      <c r="A244" s="27" t="s">
        <v>669</v>
      </c>
      <c r="B244" s="22" t="s">
        <v>670</v>
      </c>
      <c r="C244" s="27" t="s">
        <v>667</v>
      </c>
      <c r="D244" s="28"/>
      <c r="E244" s="69"/>
      <c r="F244" s="29"/>
      <c r="G244" s="39" t="s">
        <v>671</v>
      </c>
      <c r="H244" s="52" t="s">
        <v>672</v>
      </c>
      <c r="I244" s="25">
        <v>550.0</v>
      </c>
      <c r="J244" s="58">
        <v>206.0</v>
      </c>
      <c r="K244" s="33"/>
      <c r="L244" s="26"/>
      <c r="M244" s="26"/>
      <c r="N244" s="26"/>
    </row>
    <row r="245" ht="12.75" customHeight="1">
      <c r="A245" s="27" t="s">
        <v>673</v>
      </c>
      <c r="B245" s="22" t="s">
        <v>674</v>
      </c>
      <c r="C245" s="27" t="s">
        <v>667</v>
      </c>
      <c r="D245" s="28"/>
      <c r="E245" s="69">
        <v>413.0</v>
      </c>
      <c r="F245" s="29" t="s">
        <v>15</v>
      </c>
      <c r="G245" s="39" t="s">
        <v>671</v>
      </c>
      <c r="H245" s="52" t="s">
        <v>643</v>
      </c>
      <c r="I245" s="25">
        <v>550.0</v>
      </c>
      <c r="J245" s="58">
        <v>206.0</v>
      </c>
      <c r="K245" s="33"/>
      <c r="L245" s="26"/>
      <c r="M245" s="26"/>
      <c r="N245" s="26"/>
    </row>
    <row r="246" ht="12.75" customHeight="1">
      <c r="A246" s="27" t="s">
        <v>675</v>
      </c>
      <c r="B246" s="22" t="s">
        <v>676</v>
      </c>
      <c r="C246" s="27" t="s">
        <v>667</v>
      </c>
      <c r="D246" s="28"/>
      <c r="E246" s="69">
        <v>2400.0</v>
      </c>
      <c r="F246" s="29" t="s">
        <v>15</v>
      </c>
      <c r="G246" s="39" t="s">
        <v>671</v>
      </c>
      <c r="H246" s="52" t="s">
        <v>223</v>
      </c>
      <c r="I246" s="25">
        <v>550.0</v>
      </c>
      <c r="J246" s="82">
        <v>206.0</v>
      </c>
      <c r="K246" s="83"/>
      <c r="L246" s="26"/>
      <c r="M246" s="26"/>
      <c r="N246" s="26"/>
    </row>
    <row r="247" ht="12.75" hidden="1" customHeight="1">
      <c r="A247" s="53" t="s">
        <v>677</v>
      </c>
      <c r="B247" s="22" t="s">
        <v>678</v>
      </c>
      <c r="C247" s="27" t="s">
        <v>679</v>
      </c>
      <c r="D247" s="81"/>
      <c r="E247" s="69"/>
      <c r="F247" s="29"/>
      <c r="G247" s="39" t="s">
        <v>680</v>
      </c>
      <c r="H247" s="52" t="s">
        <v>643</v>
      </c>
      <c r="I247" s="25">
        <v>550.0</v>
      </c>
      <c r="J247" s="82">
        <v>202.0</v>
      </c>
      <c r="K247" s="33"/>
      <c r="L247" s="26"/>
      <c r="M247" s="26"/>
      <c r="N247" s="26"/>
    </row>
    <row r="248" ht="12.75" hidden="1" customHeight="1">
      <c r="A248" s="53" t="s">
        <v>681</v>
      </c>
      <c r="B248" s="22" t="s">
        <v>682</v>
      </c>
      <c r="C248" s="27" t="s">
        <v>679</v>
      </c>
      <c r="D248" s="81"/>
      <c r="E248" s="69"/>
      <c r="F248" s="29"/>
      <c r="G248" s="39" t="s">
        <v>671</v>
      </c>
      <c r="H248" s="52" t="s">
        <v>683</v>
      </c>
      <c r="I248" s="25">
        <v>550.0</v>
      </c>
      <c r="J248" s="82">
        <v>202.0</v>
      </c>
      <c r="K248" s="33"/>
      <c r="L248" s="26"/>
      <c r="M248" s="26"/>
      <c r="N248" s="26"/>
    </row>
    <row r="249" ht="12.75" customHeight="1">
      <c r="A249" s="53" t="s">
        <v>684</v>
      </c>
      <c r="B249" s="22" t="s">
        <v>685</v>
      </c>
      <c r="C249" s="27" t="s">
        <v>679</v>
      </c>
      <c r="D249" s="81"/>
      <c r="E249" s="69">
        <v>91.0</v>
      </c>
      <c r="F249" s="29" t="s">
        <v>15</v>
      </c>
      <c r="G249" s="39" t="s">
        <v>671</v>
      </c>
      <c r="H249" s="52" t="s">
        <v>683</v>
      </c>
      <c r="I249" s="25">
        <v>550.0</v>
      </c>
      <c r="J249" s="82">
        <v>202.0</v>
      </c>
      <c r="K249" s="33"/>
      <c r="L249" s="26"/>
      <c r="M249" s="26"/>
      <c r="N249" s="26"/>
    </row>
    <row r="250" ht="12.75" customHeight="1">
      <c r="A250" s="53" t="s">
        <v>686</v>
      </c>
      <c r="B250" s="22" t="s">
        <v>687</v>
      </c>
      <c r="C250" s="27" t="s">
        <v>679</v>
      </c>
      <c r="D250" s="81"/>
      <c r="E250" s="69">
        <v>2879.0</v>
      </c>
      <c r="F250" s="29" t="s">
        <v>15</v>
      </c>
      <c r="G250" s="39" t="s">
        <v>671</v>
      </c>
      <c r="H250" s="52" t="s">
        <v>683</v>
      </c>
      <c r="I250" s="25">
        <v>550.0</v>
      </c>
      <c r="J250" s="82">
        <v>202.0</v>
      </c>
      <c r="K250" s="33"/>
      <c r="L250" s="26"/>
      <c r="M250" s="26"/>
      <c r="N250" s="26"/>
    </row>
    <row r="251" ht="12.75" hidden="1" customHeight="1">
      <c r="A251" s="53" t="s">
        <v>688</v>
      </c>
      <c r="B251" s="22" t="s">
        <v>689</v>
      </c>
      <c r="C251" s="27" t="s">
        <v>690</v>
      </c>
      <c r="D251" s="81"/>
      <c r="E251" s="69"/>
      <c r="F251" s="29"/>
      <c r="G251" s="39" t="s">
        <v>691</v>
      </c>
      <c r="H251" s="52" t="s">
        <v>692</v>
      </c>
      <c r="I251" s="25">
        <v>750.0</v>
      </c>
      <c r="J251" s="82" t="s">
        <v>693</v>
      </c>
      <c r="K251" s="33"/>
      <c r="L251" s="26"/>
      <c r="M251" s="26"/>
      <c r="N251" s="26"/>
    </row>
    <row r="252" ht="21.75" customHeight="1">
      <c r="A252" s="53" t="s">
        <v>694</v>
      </c>
      <c r="B252" s="22" t="s">
        <v>695</v>
      </c>
      <c r="C252" s="27" t="s">
        <v>696</v>
      </c>
      <c r="D252" s="84"/>
      <c r="E252" s="69">
        <v>6.0</v>
      </c>
      <c r="F252" s="29" t="s">
        <v>15</v>
      </c>
      <c r="G252" s="25">
        <v>225.0</v>
      </c>
      <c r="H252" s="52" t="s">
        <v>254</v>
      </c>
      <c r="I252" s="25">
        <v>580.0</v>
      </c>
      <c r="J252" s="58">
        <f t="shared" ref="J252:J253" si="10">G252*11/12</f>
        <v>206.25</v>
      </c>
      <c r="K252" s="33"/>
      <c r="L252" s="26"/>
      <c r="M252" s="26"/>
      <c r="N252" s="26"/>
    </row>
    <row r="253" ht="21.75" hidden="1" customHeight="1">
      <c r="A253" s="22" t="s">
        <v>697</v>
      </c>
      <c r="B253" s="22" t="s">
        <v>698</v>
      </c>
      <c r="C253" s="22" t="s">
        <v>699</v>
      </c>
      <c r="D253" s="84"/>
      <c r="E253" s="69"/>
      <c r="F253" s="29"/>
      <c r="G253" s="25">
        <v>330.0</v>
      </c>
      <c r="H253" s="51" t="s">
        <v>254</v>
      </c>
      <c r="I253" s="25">
        <v>750.0</v>
      </c>
      <c r="J253" s="58">
        <f t="shared" si="10"/>
        <v>302.5</v>
      </c>
      <c r="K253" s="31"/>
      <c r="L253" s="67"/>
      <c r="M253" s="67"/>
      <c r="N253" s="67"/>
    </row>
    <row r="254" ht="21.75" customHeight="1">
      <c r="A254" s="22" t="s">
        <v>700</v>
      </c>
      <c r="B254" s="22" t="s">
        <v>701</v>
      </c>
      <c r="C254" s="22" t="s">
        <v>699</v>
      </c>
      <c r="D254" s="84"/>
      <c r="E254" s="69">
        <v>194.0</v>
      </c>
      <c r="F254" s="29" t="s">
        <v>15</v>
      </c>
      <c r="G254" s="25">
        <v>330.0</v>
      </c>
      <c r="H254" s="51" t="s">
        <v>254</v>
      </c>
      <c r="I254" s="25">
        <v>750.0</v>
      </c>
      <c r="J254" s="58">
        <v>303.0</v>
      </c>
      <c r="K254" s="31"/>
      <c r="L254" s="67"/>
      <c r="M254" s="67"/>
      <c r="N254" s="67"/>
    </row>
    <row r="255" ht="21.75" hidden="1" customHeight="1">
      <c r="A255" s="27" t="s">
        <v>702</v>
      </c>
      <c r="B255" s="22" t="s">
        <v>703</v>
      </c>
      <c r="C255" s="27" t="s">
        <v>704</v>
      </c>
      <c r="D255" s="32"/>
      <c r="E255" s="69"/>
      <c r="F255" s="29"/>
      <c r="G255" s="25">
        <v>240.0</v>
      </c>
      <c r="H255" s="32" t="s">
        <v>254</v>
      </c>
      <c r="I255" s="25">
        <v>580.0</v>
      </c>
      <c r="J255" s="58">
        <f t="shared" ref="J255:J262" si="11">G255*11/12</f>
        <v>220</v>
      </c>
      <c r="K255" s="31"/>
      <c r="L255" s="26"/>
      <c r="M255" s="26"/>
      <c r="N255" s="26"/>
    </row>
    <row r="256" ht="21.75" customHeight="1">
      <c r="A256" s="27" t="s">
        <v>705</v>
      </c>
      <c r="B256" s="22" t="s">
        <v>706</v>
      </c>
      <c r="C256" s="27" t="s">
        <v>704</v>
      </c>
      <c r="D256" s="32"/>
      <c r="E256" s="69">
        <v>591.0</v>
      </c>
      <c r="F256" s="29" t="s">
        <v>15</v>
      </c>
      <c r="G256" s="25">
        <v>240.0</v>
      </c>
      <c r="H256" s="32" t="s">
        <v>254</v>
      </c>
      <c r="I256" s="25">
        <v>580.0</v>
      </c>
      <c r="J256" s="58">
        <f t="shared" si="11"/>
        <v>220</v>
      </c>
      <c r="K256" s="31"/>
      <c r="L256" s="26"/>
      <c r="M256" s="26"/>
      <c r="N256" s="26"/>
    </row>
    <row r="257" ht="21.75" customHeight="1">
      <c r="A257" s="27" t="s">
        <v>707</v>
      </c>
      <c r="B257" s="22" t="s">
        <v>708</v>
      </c>
      <c r="C257" s="27" t="s">
        <v>704</v>
      </c>
      <c r="D257" s="32"/>
      <c r="E257" s="69">
        <v>1200.0</v>
      </c>
      <c r="F257" s="29" t="s">
        <v>15</v>
      </c>
      <c r="G257" s="25">
        <v>240.0</v>
      </c>
      <c r="H257" s="32" t="s">
        <v>254</v>
      </c>
      <c r="I257" s="25">
        <v>580.0</v>
      </c>
      <c r="J257" s="58">
        <f t="shared" si="11"/>
        <v>220</v>
      </c>
      <c r="K257" s="31"/>
      <c r="L257" s="26"/>
      <c r="M257" s="26"/>
      <c r="N257" s="26"/>
    </row>
    <row r="258" ht="21.75" customHeight="1">
      <c r="A258" s="27" t="s">
        <v>709</v>
      </c>
      <c r="B258" s="22" t="s">
        <v>710</v>
      </c>
      <c r="C258" s="27" t="s">
        <v>711</v>
      </c>
      <c r="D258" s="32"/>
      <c r="E258" s="69">
        <v>122.0</v>
      </c>
      <c r="F258" s="29" t="s">
        <v>15</v>
      </c>
      <c r="G258" s="25">
        <v>650.0</v>
      </c>
      <c r="H258" s="32" t="s">
        <v>254</v>
      </c>
      <c r="I258" s="25">
        <v>1380.0</v>
      </c>
      <c r="J258" s="58">
        <f t="shared" si="11"/>
        <v>595.8333333</v>
      </c>
      <c r="K258" s="31"/>
      <c r="L258" s="26"/>
      <c r="M258" s="26"/>
      <c r="N258" s="26"/>
    </row>
    <row r="259" ht="21.75" hidden="1" customHeight="1">
      <c r="A259" s="27" t="s">
        <v>712</v>
      </c>
      <c r="B259" s="22" t="s">
        <v>713</v>
      </c>
      <c r="C259" s="27" t="s">
        <v>714</v>
      </c>
      <c r="D259" s="32"/>
      <c r="E259" s="69"/>
      <c r="F259" s="29"/>
      <c r="G259" s="25">
        <v>600.0</v>
      </c>
      <c r="H259" s="32" t="s">
        <v>254</v>
      </c>
      <c r="I259" s="25">
        <v>1280.0</v>
      </c>
      <c r="J259" s="58">
        <f t="shared" si="11"/>
        <v>550</v>
      </c>
      <c r="K259" s="33"/>
      <c r="L259" s="26"/>
      <c r="M259" s="26"/>
      <c r="N259" s="26"/>
    </row>
    <row r="260" ht="21.75" hidden="1" customHeight="1">
      <c r="A260" s="27" t="s">
        <v>715</v>
      </c>
      <c r="B260" s="22" t="s">
        <v>716</v>
      </c>
      <c r="C260" s="27" t="s">
        <v>714</v>
      </c>
      <c r="D260" s="32"/>
      <c r="E260" s="69"/>
      <c r="F260" s="29"/>
      <c r="G260" s="25">
        <v>600.0</v>
      </c>
      <c r="H260" s="32" t="s">
        <v>254</v>
      </c>
      <c r="I260" s="25">
        <v>1280.0</v>
      </c>
      <c r="J260" s="58">
        <f t="shared" si="11"/>
        <v>550</v>
      </c>
      <c r="K260" s="33"/>
      <c r="L260" s="26"/>
      <c r="M260" s="26"/>
      <c r="N260" s="26"/>
    </row>
    <row r="261" ht="21.75" hidden="1" customHeight="1">
      <c r="A261" s="27" t="s">
        <v>717</v>
      </c>
      <c r="B261" s="22" t="s">
        <v>718</v>
      </c>
      <c r="C261" s="27" t="s">
        <v>714</v>
      </c>
      <c r="D261" s="32"/>
      <c r="E261" s="69"/>
      <c r="F261" s="29"/>
      <c r="G261" s="25">
        <v>600.0</v>
      </c>
      <c r="H261" s="32" t="s">
        <v>254</v>
      </c>
      <c r="I261" s="25">
        <v>1280.0</v>
      </c>
      <c r="J261" s="58">
        <f t="shared" si="11"/>
        <v>550</v>
      </c>
      <c r="K261" s="33"/>
      <c r="L261" s="26"/>
      <c r="M261" s="26"/>
      <c r="N261" s="26"/>
    </row>
    <row r="262" ht="21.75" customHeight="1">
      <c r="A262" s="27" t="s">
        <v>719</v>
      </c>
      <c r="B262" s="22" t="s">
        <v>720</v>
      </c>
      <c r="C262" s="27" t="s">
        <v>714</v>
      </c>
      <c r="D262" s="32"/>
      <c r="E262" s="69">
        <v>1406.0</v>
      </c>
      <c r="F262" s="29" t="s">
        <v>15</v>
      </c>
      <c r="G262" s="25">
        <v>600.0</v>
      </c>
      <c r="H262" s="32" t="s">
        <v>254</v>
      </c>
      <c r="I262" s="25">
        <v>1280.0</v>
      </c>
      <c r="J262" s="58">
        <f t="shared" si="11"/>
        <v>550</v>
      </c>
      <c r="K262" s="33"/>
      <c r="L262" s="26"/>
      <c r="M262" s="26"/>
      <c r="N262" s="26"/>
    </row>
    <row r="263" ht="21.75" hidden="1" customHeight="1">
      <c r="A263" s="53"/>
      <c r="B263" s="55"/>
      <c r="C263" s="27"/>
      <c r="D263" s="32"/>
      <c r="E263" s="69"/>
      <c r="F263" s="29"/>
      <c r="G263" s="25"/>
      <c r="H263" s="32"/>
      <c r="I263" s="25"/>
      <c r="J263" s="33"/>
      <c r="K263" s="33"/>
      <c r="L263" s="26"/>
      <c r="M263" s="26"/>
      <c r="N263" s="26"/>
    </row>
    <row r="264" ht="31.5" hidden="1" customHeight="1">
      <c r="A264" s="63" t="s">
        <v>721</v>
      </c>
      <c r="B264" s="13"/>
      <c r="C264" s="56"/>
      <c r="D264" s="64"/>
      <c r="E264" s="65"/>
      <c r="F264" s="66"/>
      <c r="G264" s="14"/>
      <c r="H264" s="56"/>
      <c r="I264" s="15"/>
      <c r="J264" s="15"/>
      <c r="K264" s="15"/>
      <c r="L264" s="67"/>
      <c r="M264" s="67"/>
      <c r="N264" s="67"/>
    </row>
    <row r="265" ht="21.75" customHeight="1">
      <c r="A265" s="11" t="s">
        <v>0</v>
      </c>
      <c r="B265" s="11" t="s">
        <v>1</v>
      </c>
      <c r="C265" s="11" t="s">
        <v>2</v>
      </c>
      <c r="D265" s="12" t="s">
        <v>3</v>
      </c>
      <c r="E265" s="11" t="s">
        <v>4</v>
      </c>
      <c r="F265" s="13"/>
      <c r="G265" s="14" t="s">
        <v>5</v>
      </c>
      <c r="H265" s="11" t="s">
        <v>6</v>
      </c>
      <c r="I265" s="15" t="s">
        <v>7</v>
      </c>
      <c r="J265" s="15" t="s">
        <v>8</v>
      </c>
      <c r="K265" s="16" t="s">
        <v>9</v>
      </c>
      <c r="L265" s="17"/>
      <c r="M265" s="17"/>
      <c r="N265" s="17"/>
    </row>
    <row r="266" ht="12.75" customHeight="1">
      <c r="A266" s="22" t="s">
        <v>722</v>
      </c>
      <c r="B266" s="22" t="s">
        <v>723</v>
      </c>
      <c r="C266" s="85" t="s">
        <v>724</v>
      </c>
      <c r="D266" s="86"/>
      <c r="E266" s="4">
        <v>686.0</v>
      </c>
      <c r="F266" s="5" t="s">
        <v>15</v>
      </c>
      <c r="G266" s="25">
        <v>980.0</v>
      </c>
      <c r="H266" s="87" t="s">
        <v>725</v>
      </c>
      <c r="I266" s="25">
        <v>1880.0</v>
      </c>
      <c r="J266" s="9">
        <v>980.0</v>
      </c>
      <c r="K266" s="9"/>
      <c r="L266" s="88" t="s">
        <v>726</v>
      </c>
      <c r="M266" s="26"/>
      <c r="N266" s="26"/>
    </row>
    <row r="267" ht="12.75" customHeight="1">
      <c r="A267" s="22" t="s">
        <v>727</v>
      </c>
      <c r="B267" s="22" t="s">
        <v>728</v>
      </c>
      <c r="C267" s="27" t="s">
        <v>729</v>
      </c>
      <c r="D267" s="86"/>
      <c r="E267" s="69">
        <v>62.0</v>
      </c>
      <c r="F267" s="29" t="s">
        <v>15</v>
      </c>
      <c r="G267" s="25">
        <v>780.0</v>
      </c>
      <c r="H267" s="87" t="s">
        <v>725</v>
      </c>
      <c r="I267" s="25">
        <v>1580.0</v>
      </c>
      <c r="J267" s="33">
        <v>780.0</v>
      </c>
      <c r="K267" s="33"/>
      <c r="L267" s="88" t="s">
        <v>726</v>
      </c>
      <c r="M267" s="26"/>
      <c r="N267" s="26"/>
    </row>
    <row r="268" ht="21.75" customHeight="1">
      <c r="A268" s="22" t="s">
        <v>730</v>
      </c>
      <c r="B268" s="22" t="s">
        <v>731</v>
      </c>
      <c r="C268" s="27" t="s">
        <v>732</v>
      </c>
      <c r="D268" s="86"/>
      <c r="E268" s="69">
        <v>1727.0</v>
      </c>
      <c r="F268" s="29" t="s">
        <v>15</v>
      </c>
      <c r="G268" s="25">
        <v>480.0</v>
      </c>
      <c r="H268" s="32" t="s">
        <v>254</v>
      </c>
      <c r="I268" s="25">
        <v>980.0</v>
      </c>
      <c r="J268" s="33">
        <v>440.0</v>
      </c>
      <c r="K268" s="33"/>
      <c r="L268" s="26"/>
      <c r="M268" s="26"/>
      <c r="N268" s="26"/>
    </row>
    <row r="269" ht="21.75" customHeight="1">
      <c r="A269" s="22" t="s">
        <v>733</v>
      </c>
      <c r="B269" s="22" t="s">
        <v>734</v>
      </c>
      <c r="C269" s="27" t="s">
        <v>735</v>
      </c>
      <c r="D269" s="86"/>
      <c r="E269" s="69">
        <v>1057.0</v>
      </c>
      <c r="F269" s="29" t="s">
        <v>15</v>
      </c>
      <c r="G269" s="25">
        <v>300.0</v>
      </c>
      <c r="H269" s="32" t="s">
        <v>254</v>
      </c>
      <c r="I269" s="25">
        <v>600.0</v>
      </c>
      <c r="J269" s="33">
        <v>275.0</v>
      </c>
      <c r="K269" s="33"/>
      <c r="L269" s="26"/>
      <c r="M269" s="26"/>
      <c r="N269" s="26"/>
    </row>
    <row r="270" ht="21.75" customHeight="1">
      <c r="A270" s="22" t="s">
        <v>736</v>
      </c>
      <c r="B270" s="22" t="s">
        <v>737</v>
      </c>
      <c r="C270" s="27" t="s">
        <v>738</v>
      </c>
      <c r="D270" s="86"/>
      <c r="E270" s="69">
        <v>1192.0</v>
      </c>
      <c r="F270" s="29" t="s">
        <v>15</v>
      </c>
      <c r="G270" s="25">
        <v>300.0</v>
      </c>
      <c r="H270" s="32" t="s">
        <v>254</v>
      </c>
      <c r="I270" s="25">
        <v>600.0</v>
      </c>
      <c r="J270" s="33">
        <v>275.0</v>
      </c>
      <c r="K270" s="33"/>
      <c r="L270" s="26"/>
      <c r="M270" s="26"/>
      <c r="N270" s="26"/>
    </row>
    <row r="271" ht="21.75" customHeight="1">
      <c r="A271" s="22" t="s">
        <v>739</v>
      </c>
      <c r="B271" s="22" t="s">
        <v>740</v>
      </c>
      <c r="C271" s="27" t="s">
        <v>741</v>
      </c>
      <c r="D271" s="86"/>
      <c r="E271" s="69">
        <v>1060.0</v>
      </c>
      <c r="F271" s="29" t="s">
        <v>15</v>
      </c>
      <c r="G271" s="25">
        <v>300.0</v>
      </c>
      <c r="H271" s="32" t="s">
        <v>254</v>
      </c>
      <c r="I271" s="25">
        <v>600.0</v>
      </c>
      <c r="J271" s="33">
        <v>275.0</v>
      </c>
      <c r="K271" s="33"/>
      <c r="L271" s="26"/>
      <c r="M271" s="26"/>
      <c r="N271" s="26"/>
    </row>
    <row r="272" ht="21.75" customHeight="1">
      <c r="A272" s="22" t="s">
        <v>742</v>
      </c>
      <c r="B272" s="22" t="s">
        <v>743</v>
      </c>
      <c r="C272" s="27" t="s">
        <v>744</v>
      </c>
      <c r="D272" s="86"/>
      <c r="E272" s="69">
        <v>914.0</v>
      </c>
      <c r="F272" s="29" t="s">
        <v>15</v>
      </c>
      <c r="G272" s="25">
        <v>300.0</v>
      </c>
      <c r="H272" s="32" t="s">
        <v>254</v>
      </c>
      <c r="I272" s="25">
        <v>600.0</v>
      </c>
      <c r="J272" s="33">
        <v>275.0</v>
      </c>
      <c r="K272" s="33"/>
      <c r="L272" s="26"/>
      <c r="M272" s="26"/>
      <c r="N272" s="26"/>
    </row>
    <row r="273" ht="21.75" customHeight="1">
      <c r="A273" s="22" t="s">
        <v>745</v>
      </c>
      <c r="B273" s="22" t="s">
        <v>746</v>
      </c>
      <c r="C273" s="27" t="s">
        <v>747</v>
      </c>
      <c r="D273" s="86"/>
      <c r="E273" s="69">
        <v>715.0</v>
      </c>
      <c r="F273" s="29" t="s">
        <v>15</v>
      </c>
      <c r="G273" s="25">
        <v>300.0</v>
      </c>
      <c r="H273" s="32" t="s">
        <v>254</v>
      </c>
      <c r="I273" s="25">
        <v>600.0</v>
      </c>
      <c r="J273" s="33">
        <v>275.0</v>
      </c>
      <c r="K273" s="33"/>
      <c r="L273" s="26"/>
      <c r="M273" s="26"/>
      <c r="N273" s="26"/>
    </row>
    <row r="274" ht="21.75" hidden="1" customHeight="1">
      <c r="A274" s="89"/>
      <c r="B274" s="55"/>
      <c r="C274" s="27"/>
      <c r="D274" s="32"/>
      <c r="E274" s="4"/>
      <c r="F274" s="5"/>
      <c r="G274" s="6"/>
      <c r="H274" s="7"/>
      <c r="I274" s="8"/>
      <c r="J274" s="9"/>
      <c r="K274" s="9"/>
      <c r="L274" s="26"/>
      <c r="M274" s="26"/>
      <c r="N274" s="26"/>
    </row>
    <row r="275" ht="31.5" hidden="1" customHeight="1">
      <c r="A275" s="43" t="s">
        <v>748</v>
      </c>
      <c r="B275" s="13"/>
      <c r="C275" s="56"/>
      <c r="D275" s="64"/>
      <c r="E275" s="65"/>
      <c r="F275" s="66"/>
      <c r="G275" s="14"/>
      <c r="H275" s="56"/>
      <c r="I275" s="15"/>
      <c r="J275" s="15"/>
      <c r="K275" s="15"/>
      <c r="L275" s="67"/>
      <c r="M275" s="67"/>
      <c r="N275" s="67"/>
    </row>
    <row r="276" ht="21.75" customHeight="1">
      <c r="A276" s="11" t="s">
        <v>0</v>
      </c>
      <c r="B276" s="11" t="s">
        <v>1</v>
      </c>
      <c r="C276" s="11" t="s">
        <v>2</v>
      </c>
      <c r="D276" s="12" t="s">
        <v>3</v>
      </c>
      <c r="E276" s="11" t="s">
        <v>4</v>
      </c>
      <c r="F276" s="13"/>
      <c r="G276" s="14" t="s">
        <v>5</v>
      </c>
      <c r="H276" s="11" t="s">
        <v>6</v>
      </c>
      <c r="I276" s="15" t="s">
        <v>7</v>
      </c>
      <c r="J276" s="15" t="s">
        <v>8</v>
      </c>
      <c r="K276" s="16" t="s">
        <v>9</v>
      </c>
      <c r="L276" s="17"/>
      <c r="M276" s="17"/>
      <c r="N276" s="17"/>
    </row>
    <row r="277" ht="21.75" hidden="1" customHeight="1">
      <c r="A277" s="22" t="s">
        <v>749</v>
      </c>
      <c r="B277" s="38" t="s">
        <v>750</v>
      </c>
      <c r="C277" s="38" t="s">
        <v>751</v>
      </c>
      <c r="D277" s="68" t="s">
        <v>752</v>
      </c>
      <c r="E277" s="4"/>
      <c r="F277" s="5"/>
      <c r="G277" s="25">
        <v>1690.0</v>
      </c>
      <c r="H277" s="90"/>
      <c r="I277" s="25">
        <v>3680.0</v>
      </c>
      <c r="J277" s="9"/>
      <c r="K277" s="9"/>
      <c r="L277" s="26"/>
      <c r="M277" s="26"/>
      <c r="N277" s="26"/>
    </row>
    <row r="278" ht="21.75" customHeight="1">
      <c r="A278" s="22" t="s">
        <v>753</v>
      </c>
      <c r="B278" s="38" t="s">
        <v>754</v>
      </c>
      <c r="C278" s="38" t="s">
        <v>755</v>
      </c>
      <c r="D278" s="32"/>
      <c r="E278" s="4">
        <v>9.0</v>
      </c>
      <c r="F278" s="5" t="s">
        <v>15</v>
      </c>
      <c r="G278" s="25">
        <v>3100.0</v>
      </c>
      <c r="H278" s="32" t="s">
        <v>254</v>
      </c>
      <c r="I278" s="31">
        <v>5680.0</v>
      </c>
      <c r="J278" s="9">
        <f t="shared" ref="J278:J279" si="12">G278*11/12</f>
        <v>2841.666667</v>
      </c>
      <c r="K278" s="9"/>
      <c r="L278" s="26"/>
      <c r="M278" s="26"/>
      <c r="N278" s="26"/>
    </row>
    <row r="279" ht="21.75" hidden="1" customHeight="1">
      <c r="A279" s="27" t="s">
        <v>756</v>
      </c>
      <c r="B279" s="38" t="s">
        <v>757</v>
      </c>
      <c r="C279" s="38" t="s">
        <v>758</v>
      </c>
      <c r="D279" s="32"/>
      <c r="E279" s="4"/>
      <c r="F279" s="5"/>
      <c r="G279" s="25">
        <v>1600.0</v>
      </c>
      <c r="H279" s="32" t="s">
        <v>254</v>
      </c>
      <c r="I279" s="31">
        <v>2980.0</v>
      </c>
      <c r="J279" s="9">
        <f t="shared" si="12"/>
        <v>1466.666667</v>
      </c>
      <c r="K279" s="9"/>
      <c r="L279" s="26"/>
      <c r="M279" s="26"/>
      <c r="N279" s="26"/>
    </row>
    <row r="280" ht="21.75" hidden="1" customHeight="1">
      <c r="A280" s="27" t="s">
        <v>759</v>
      </c>
      <c r="B280" s="38" t="s">
        <v>760</v>
      </c>
      <c r="C280" s="38" t="s">
        <v>761</v>
      </c>
      <c r="D280" s="32"/>
      <c r="E280" s="4"/>
      <c r="F280" s="5"/>
      <c r="G280" s="25">
        <v>715.0</v>
      </c>
      <c r="H280" s="32"/>
      <c r="I280" s="25">
        <v>1480.0</v>
      </c>
      <c r="J280" s="9"/>
      <c r="K280" s="9"/>
      <c r="L280" s="26"/>
      <c r="M280" s="26"/>
      <c r="N280" s="26"/>
    </row>
    <row r="281" ht="21.75" hidden="1" customHeight="1">
      <c r="A281" s="27" t="s">
        <v>762</v>
      </c>
      <c r="B281" s="38" t="s">
        <v>763</v>
      </c>
      <c r="C281" s="38" t="s">
        <v>764</v>
      </c>
      <c r="D281" s="28"/>
      <c r="E281" s="4"/>
      <c r="F281" s="5"/>
      <c r="G281" s="25">
        <v>780.0</v>
      </c>
      <c r="H281" s="32"/>
      <c r="I281" s="25">
        <v>1580.0</v>
      </c>
      <c r="J281" s="9"/>
      <c r="K281" s="9"/>
      <c r="L281" s="26"/>
      <c r="M281" s="26"/>
      <c r="N281" s="26"/>
    </row>
    <row r="282" ht="21.75" hidden="1" customHeight="1">
      <c r="A282" s="27" t="s">
        <v>765</v>
      </c>
      <c r="B282" s="38" t="s">
        <v>766</v>
      </c>
      <c r="C282" s="38" t="s">
        <v>767</v>
      </c>
      <c r="D282" s="32"/>
      <c r="E282" s="4"/>
      <c r="F282" s="5"/>
      <c r="G282" s="25">
        <v>780.0</v>
      </c>
      <c r="H282" s="32"/>
      <c r="I282" s="25">
        <v>1580.0</v>
      </c>
      <c r="J282" s="9"/>
      <c r="K282" s="9"/>
      <c r="L282" s="26"/>
      <c r="M282" s="26"/>
      <c r="N282" s="26"/>
    </row>
    <row r="283" ht="21.75" customHeight="1">
      <c r="A283" s="27" t="s">
        <v>768</v>
      </c>
      <c r="B283" s="38" t="s">
        <v>769</v>
      </c>
      <c r="C283" s="38" t="s">
        <v>770</v>
      </c>
      <c r="D283" s="32"/>
      <c r="E283" s="4">
        <v>37.0</v>
      </c>
      <c r="F283" s="5" t="s">
        <v>15</v>
      </c>
      <c r="G283" s="25">
        <v>525.0</v>
      </c>
      <c r="H283" s="32" t="s">
        <v>254</v>
      </c>
      <c r="I283" s="25">
        <v>980.0</v>
      </c>
      <c r="J283" s="9">
        <f>G283*11/12</f>
        <v>481.25</v>
      </c>
      <c r="K283" s="9"/>
      <c r="L283" s="26"/>
      <c r="M283" s="26"/>
      <c r="N283" s="26"/>
    </row>
    <row r="284" ht="21.75" customHeight="1">
      <c r="A284" s="27" t="s">
        <v>771</v>
      </c>
      <c r="B284" s="38" t="s">
        <v>772</v>
      </c>
      <c r="C284" s="38" t="s">
        <v>773</v>
      </c>
      <c r="D284" s="32"/>
      <c r="E284" s="69">
        <v>45.0</v>
      </c>
      <c r="F284" s="29" t="s">
        <v>15</v>
      </c>
      <c r="G284" s="25">
        <v>525.0</v>
      </c>
      <c r="H284" s="32" t="s">
        <v>254</v>
      </c>
      <c r="I284" s="25">
        <v>980.0</v>
      </c>
      <c r="J284" s="9">
        <v>481.0</v>
      </c>
      <c r="K284" s="9"/>
      <c r="L284" s="26"/>
      <c r="M284" s="26"/>
      <c r="N284" s="26"/>
    </row>
    <row r="285" ht="21.75" hidden="1" customHeight="1">
      <c r="A285" s="27"/>
      <c r="B285" s="38"/>
      <c r="C285" s="38"/>
      <c r="D285" s="32"/>
      <c r="E285" s="69"/>
      <c r="F285" s="29"/>
      <c r="G285" s="6"/>
      <c r="H285" s="71"/>
      <c r="I285" s="8"/>
      <c r="J285" s="9"/>
      <c r="K285" s="9"/>
      <c r="L285" s="26"/>
      <c r="M285" s="26"/>
      <c r="N285" s="26"/>
    </row>
    <row r="286" ht="31.5" hidden="1" customHeight="1">
      <c r="A286" s="43" t="s">
        <v>774</v>
      </c>
      <c r="B286" s="13"/>
      <c r="C286" s="11"/>
      <c r="D286" s="12"/>
      <c r="E286" s="20"/>
      <c r="F286" s="21"/>
      <c r="G286" s="14"/>
      <c r="H286" s="11"/>
      <c r="I286" s="15"/>
      <c r="J286" s="15"/>
      <c r="K286" s="16"/>
      <c r="L286" s="26"/>
      <c r="M286" s="26"/>
      <c r="N286" s="26"/>
    </row>
    <row r="287" ht="21.75" customHeight="1">
      <c r="A287" s="11" t="s">
        <v>0</v>
      </c>
      <c r="B287" s="11" t="s">
        <v>1</v>
      </c>
      <c r="C287" s="11" t="s">
        <v>2</v>
      </c>
      <c r="D287" s="12" t="s">
        <v>3</v>
      </c>
      <c r="E287" s="11" t="s">
        <v>4</v>
      </c>
      <c r="F287" s="13"/>
      <c r="G287" s="14" t="s">
        <v>5</v>
      </c>
      <c r="H287" s="11" t="s">
        <v>6</v>
      </c>
      <c r="I287" s="15" t="s">
        <v>7</v>
      </c>
      <c r="J287" s="15" t="s">
        <v>8</v>
      </c>
      <c r="K287" s="16" t="s">
        <v>9</v>
      </c>
      <c r="L287" s="17"/>
      <c r="M287" s="17"/>
      <c r="N287" s="17"/>
    </row>
    <row r="288" ht="21.75" hidden="1" customHeight="1">
      <c r="A288" s="5">
        <v>5.0041003E7</v>
      </c>
      <c r="B288" s="5" t="s">
        <v>775</v>
      </c>
      <c r="C288" s="5" t="s">
        <v>776</v>
      </c>
      <c r="D288" s="32"/>
      <c r="E288" s="4"/>
      <c r="F288" s="5"/>
      <c r="G288" s="9"/>
      <c r="H288" s="32"/>
      <c r="I288" s="50"/>
      <c r="J288" s="25"/>
      <c r="K288" s="9"/>
      <c r="L288" s="26"/>
      <c r="M288" s="26"/>
      <c r="N288" s="26"/>
    </row>
    <row r="289" ht="21.75" hidden="1" customHeight="1">
      <c r="A289" s="5">
        <v>5.0041004E7</v>
      </c>
      <c r="B289" s="5" t="s">
        <v>777</v>
      </c>
      <c r="C289" s="5" t="s">
        <v>776</v>
      </c>
      <c r="D289" s="32"/>
      <c r="E289" s="4"/>
      <c r="F289" s="5"/>
      <c r="G289" s="9"/>
      <c r="H289" s="32"/>
      <c r="I289" s="50"/>
      <c r="J289" s="25"/>
      <c r="K289" s="9"/>
      <c r="L289" s="26"/>
      <c r="M289" s="26"/>
      <c r="N289" s="26"/>
    </row>
    <row r="290" ht="21.75" hidden="1" customHeight="1">
      <c r="A290" s="5">
        <v>5.0041005E7</v>
      </c>
      <c r="B290" s="5" t="s">
        <v>778</v>
      </c>
      <c r="C290" s="5" t="s">
        <v>776</v>
      </c>
      <c r="D290" s="32"/>
      <c r="E290" s="4"/>
      <c r="F290" s="5"/>
      <c r="G290" s="9"/>
      <c r="H290" s="32"/>
      <c r="I290" s="50"/>
      <c r="J290" s="25"/>
      <c r="K290" s="9"/>
      <c r="L290" s="26"/>
      <c r="M290" s="26"/>
      <c r="N290" s="26"/>
    </row>
    <row r="291" ht="21.75" hidden="1" customHeight="1">
      <c r="A291" s="5">
        <v>5.0041006E7</v>
      </c>
      <c r="B291" s="5" t="s">
        <v>779</v>
      </c>
      <c r="C291" s="5" t="s">
        <v>776</v>
      </c>
      <c r="D291" s="32"/>
      <c r="E291" s="4"/>
      <c r="F291" s="5"/>
      <c r="G291" s="9"/>
      <c r="H291" s="32"/>
      <c r="I291" s="50"/>
      <c r="J291" s="25"/>
      <c r="K291" s="9"/>
      <c r="L291" s="26"/>
      <c r="M291" s="26"/>
      <c r="N291" s="26"/>
    </row>
    <row r="292" ht="21.75" hidden="1" customHeight="1">
      <c r="A292" s="5" t="s">
        <v>780</v>
      </c>
      <c r="B292" s="5" t="s">
        <v>781</v>
      </c>
      <c r="C292" s="5" t="s">
        <v>782</v>
      </c>
      <c r="D292" s="32"/>
      <c r="E292" s="4"/>
      <c r="F292" s="5"/>
      <c r="G292" s="9"/>
      <c r="H292" s="32"/>
      <c r="I292" s="50"/>
      <c r="J292" s="25"/>
      <c r="K292" s="9"/>
      <c r="L292" s="26"/>
      <c r="M292" s="26"/>
      <c r="N292" s="26"/>
    </row>
    <row r="293" ht="21.75" hidden="1" customHeight="1">
      <c r="A293" s="5" t="s">
        <v>783</v>
      </c>
      <c r="B293" s="5" t="s">
        <v>784</v>
      </c>
      <c r="C293" s="5" t="s">
        <v>785</v>
      </c>
      <c r="D293" s="32"/>
      <c r="E293" s="4"/>
      <c r="F293" s="5"/>
      <c r="G293" s="9"/>
      <c r="H293" s="32"/>
      <c r="I293" s="50"/>
      <c r="J293" s="25"/>
      <c r="K293" s="9"/>
      <c r="L293" s="26"/>
      <c r="M293" s="26"/>
      <c r="N293" s="26"/>
    </row>
    <row r="294" ht="21.75" hidden="1" customHeight="1">
      <c r="A294" s="5"/>
      <c r="B294" s="5"/>
      <c r="C294" s="5"/>
      <c r="D294" s="32"/>
      <c r="E294" s="4"/>
      <c r="F294" s="5"/>
      <c r="G294" s="9"/>
      <c r="H294" s="32"/>
      <c r="I294" s="50"/>
      <c r="J294" s="25"/>
      <c r="K294" s="9"/>
      <c r="L294" s="26"/>
      <c r="M294" s="26"/>
      <c r="N294" s="26"/>
    </row>
    <row r="295" ht="31.5" hidden="1" customHeight="1">
      <c r="A295" s="43" t="s">
        <v>786</v>
      </c>
      <c r="B295" s="13"/>
      <c r="C295" s="11"/>
      <c r="D295" s="12"/>
      <c r="E295" s="20"/>
      <c r="F295" s="21"/>
      <c r="G295" s="14"/>
      <c r="H295" s="11"/>
      <c r="I295" s="15"/>
      <c r="J295" s="15"/>
      <c r="K295" s="16"/>
      <c r="L295" s="26"/>
      <c r="M295" s="26"/>
      <c r="N295" s="26"/>
    </row>
    <row r="296" ht="21.75" customHeight="1">
      <c r="A296" s="11" t="s">
        <v>0</v>
      </c>
      <c r="B296" s="11" t="s">
        <v>1</v>
      </c>
      <c r="C296" s="11" t="s">
        <v>2</v>
      </c>
      <c r="D296" s="12" t="s">
        <v>3</v>
      </c>
      <c r="E296" s="11" t="s">
        <v>4</v>
      </c>
      <c r="F296" s="13"/>
      <c r="G296" s="14" t="s">
        <v>5</v>
      </c>
      <c r="H296" s="11" t="s">
        <v>6</v>
      </c>
      <c r="I296" s="15" t="s">
        <v>7</v>
      </c>
      <c r="J296" s="15" t="s">
        <v>8</v>
      </c>
      <c r="K296" s="16" t="s">
        <v>9</v>
      </c>
      <c r="L296" s="17"/>
      <c r="M296" s="17"/>
      <c r="N296" s="17"/>
    </row>
    <row r="297" ht="21.75" hidden="1" customHeight="1">
      <c r="A297" s="5" t="s">
        <v>787</v>
      </c>
      <c r="B297" s="5"/>
      <c r="C297" s="5" t="s">
        <v>788</v>
      </c>
      <c r="D297" s="32"/>
      <c r="E297" s="4"/>
      <c r="F297" s="5"/>
      <c r="G297" s="9"/>
      <c r="H297" s="32"/>
      <c r="I297" s="50"/>
      <c r="J297" s="25"/>
      <c r="K297" s="9"/>
      <c r="L297" s="26"/>
      <c r="M297" s="26"/>
      <c r="N297" s="26"/>
    </row>
    <row r="298" ht="21.75" hidden="1" customHeight="1">
      <c r="A298" s="27"/>
      <c r="B298" s="55"/>
      <c r="C298" s="27"/>
      <c r="D298" s="32"/>
      <c r="E298" s="4"/>
      <c r="F298" s="5"/>
      <c r="G298" s="6"/>
      <c r="H298" s="7"/>
      <c r="I298" s="8"/>
      <c r="J298" s="9"/>
      <c r="K298" s="9"/>
      <c r="L298" s="26"/>
      <c r="M298" s="26"/>
      <c r="N298" s="26"/>
    </row>
    <row r="299" ht="31.5" hidden="1" customHeight="1">
      <c r="A299" s="43" t="s">
        <v>789</v>
      </c>
      <c r="B299" s="13"/>
      <c r="C299" s="11"/>
      <c r="D299" s="12"/>
      <c r="E299" s="20"/>
      <c r="F299" s="21"/>
      <c r="G299" s="14"/>
      <c r="H299" s="11"/>
      <c r="I299" s="15"/>
      <c r="J299" s="15"/>
      <c r="K299" s="16"/>
      <c r="L299" s="26"/>
      <c r="M299" s="26"/>
      <c r="N299" s="26"/>
    </row>
    <row r="300" ht="21.75" customHeight="1">
      <c r="A300" s="11" t="s">
        <v>0</v>
      </c>
      <c r="B300" s="11" t="s">
        <v>1</v>
      </c>
      <c r="C300" s="11" t="s">
        <v>2</v>
      </c>
      <c r="D300" s="12" t="s">
        <v>3</v>
      </c>
      <c r="E300" s="11" t="s">
        <v>4</v>
      </c>
      <c r="F300" s="13"/>
      <c r="G300" s="14" t="s">
        <v>5</v>
      </c>
      <c r="H300" s="11" t="s">
        <v>6</v>
      </c>
      <c r="I300" s="15" t="s">
        <v>7</v>
      </c>
      <c r="J300" s="15" t="s">
        <v>8</v>
      </c>
      <c r="K300" s="16" t="s">
        <v>9</v>
      </c>
      <c r="L300" s="17"/>
      <c r="M300" s="17"/>
      <c r="N300" s="17"/>
    </row>
    <row r="301" ht="21.75" hidden="1" customHeight="1">
      <c r="A301" s="5" t="s">
        <v>790</v>
      </c>
      <c r="B301" s="5" t="s">
        <v>791</v>
      </c>
      <c r="C301" s="5" t="s">
        <v>792</v>
      </c>
      <c r="D301" s="3"/>
      <c r="E301" s="4"/>
      <c r="F301" s="5"/>
      <c r="G301" s="25"/>
      <c r="H301" s="32"/>
      <c r="I301" s="25"/>
      <c r="J301" s="50"/>
      <c r="K301" s="9"/>
      <c r="L301" s="26"/>
      <c r="M301" s="26"/>
      <c r="N301" s="26"/>
    </row>
    <row r="302" ht="21.75" hidden="1" customHeight="1">
      <c r="A302" s="5" t="s">
        <v>793</v>
      </c>
      <c r="B302" s="5" t="s">
        <v>794</v>
      </c>
      <c r="C302" s="5" t="s">
        <v>795</v>
      </c>
      <c r="D302" s="3"/>
      <c r="E302" s="4"/>
      <c r="F302" s="5"/>
      <c r="G302" s="25"/>
      <c r="H302" s="32"/>
      <c r="I302" s="25"/>
      <c r="J302" s="50"/>
      <c r="K302" s="9"/>
      <c r="L302" s="26"/>
      <c r="M302" s="26"/>
      <c r="N302" s="26"/>
    </row>
    <row r="303" ht="21.75" hidden="1" customHeight="1">
      <c r="A303" s="27" t="s">
        <v>796</v>
      </c>
      <c r="B303" s="22" t="s">
        <v>797</v>
      </c>
      <c r="C303" s="27" t="s">
        <v>798</v>
      </c>
      <c r="D303" s="28"/>
      <c r="E303" s="4"/>
      <c r="F303" s="5"/>
      <c r="G303" s="25"/>
      <c r="H303" s="72"/>
      <c r="I303" s="25"/>
      <c r="J303" s="25"/>
      <c r="K303" s="9"/>
      <c r="L303" s="26"/>
      <c r="M303" s="26"/>
      <c r="N303" s="26"/>
    </row>
    <row r="304" ht="21.75" hidden="1" customHeight="1">
      <c r="A304" s="27" t="s">
        <v>799</v>
      </c>
      <c r="B304" s="22" t="s">
        <v>800</v>
      </c>
      <c r="C304" s="27" t="s">
        <v>801</v>
      </c>
      <c r="D304" s="28"/>
      <c r="E304" s="4"/>
      <c r="F304" s="5"/>
      <c r="G304" s="25"/>
      <c r="H304" s="32"/>
      <c r="I304" s="25"/>
      <c r="J304" s="42"/>
      <c r="K304" s="9"/>
      <c r="L304" s="26"/>
      <c r="M304" s="26"/>
      <c r="N304" s="26"/>
    </row>
    <row r="305" ht="21.75" customHeight="1">
      <c r="A305" s="27" t="s">
        <v>802</v>
      </c>
      <c r="B305" s="22" t="s">
        <v>803</v>
      </c>
      <c r="C305" s="27" t="s">
        <v>804</v>
      </c>
      <c r="D305" s="32"/>
      <c r="E305" s="4">
        <v>12.0</v>
      </c>
      <c r="F305" s="5" t="s">
        <v>15</v>
      </c>
      <c r="G305" s="25">
        <v>960.0</v>
      </c>
      <c r="H305" s="32" t="s">
        <v>250</v>
      </c>
      <c r="I305" s="25">
        <v>1600.0</v>
      </c>
      <c r="J305" s="25"/>
      <c r="K305" s="9">
        <v>1000.0</v>
      </c>
      <c r="L305" s="26"/>
      <c r="M305" s="26"/>
      <c r="N305" s="26"/>
    </row>
    <row r="306" ht="21.75" hidden="1" customHeight="1">
      <c r="A306" s="22" t="s">
        <v>805</v>
      </c>
      <c r="B306" s="22" t="s">
        <v>806</v>
      </c>
      <c r="C306" s="27" t="s">
        <v>807</v>
      </c>
      <c r="D306" s="32"/>
      <c r="E306" s="4"/>
      <c r="F306" s="5"/>
      <c r="G306" s="25"/>
      <c r="H306" s="32"/>
      <c r="I306" s="25"/>
      <c r="J306" s="25"/>
      <c r="K306" s="9"/>
      <c r="L306" s="26"/>
      <c r="M306" s="26"/>
      <c r="N306" s="26"/>
    </row>
    <row r="307" ht="21.75" hidden="1" customHeight="1">
      <c r="A307" s="22" t="s">
        <v>808</v>
      </c>
      <c r="B307" s="22" t="s">
        <v>809</v>
      </c>
      <c r="C307" s="27" t="s">
        <v>810</v>
      </c>
      <c r="D307" s="32"/>
      <c r="E307" s="4">
        <v>2.0</v>
      </c>
      <c r="F307" s="5" t="s">
        <v>15</v>
      </c>
      <c r="G307" s="25"/>
      <c r="H307" s="32" t="s">
        <v>250</v>
      </c>
      <c r="I307" s="25">
        <v>3000.0</v>
      </c>
      <c r="J307" s="25"/>
      <c r="K307" s="9"/>
      <c r="L307" s="26"/>
      <c r="M307" s="26"/>
      <c r="N307" s="26"/>
    </row>
    <row r="308" ht="21.75" customHeight="1">
      <c r="A308" s="22" t="s">
        <v>811</v>
      </c>
      <c r="B308" s="22" t="s">
        <v>812</v>
      </c>
      <c r="C308" s="27" t="s">
        <v>813</v>
      </c>
      <c r="D308" s="32"/>
      <c r="E308" s="4">
        <v>6.0</v>
      </c>
      <c r="F308" s="5" t="s">
        <v>15</v>
      </c>
      <c r="G308" s="91">
        <v>1740.0</v>
      </c>
      <c r="H308" s="32" t="s">
        <v>250</v>
      </c>
      <c r="I308" s="25">
        <v>3380.0</v>
      </c>
      <c r="J308" s="42"/>
      <c r="K308" s="9"/>
      <c r="L308" s="26"/>
      <c r="M308" s="26"/>
      <c r="N308" s="26"/>
    </row>
    <row r="309" ht="21.75" hidden="1" customHeight="1">
      <c r="A309" s="27" t="s">
        <v>814</v>
      </c>
      <c r="B309" s="22" t="s">
        <v>815</v>
      </c>
      <c r="C309" s="27" t="s">
        <v>810</v>
      </c>
      <c r="D309" s="92" t="s">
        <v>816</v>
      </c>
      <c r="E309" s="4">
        <v>2.0</v>
      </c>
      <c r="F309" s="5" t="s">
        <v>15</v>
      </c>
      <c r="G309" s="25"/>
      <c r="H309" s="32"/>
      <c r="I309" s="25"/>
      <c r="J309" s="25"/>
      <c r="K309" s="9"/>
      <c r="L309" s="26"/>
      <c r="M309" s="26"/>
      <c r="N309" s="26"/>
    </row>
    <row r="310" ht="21.75" hidden="1" customHeight="1">
      <c r="A310" s="22" t="s">
        <v>817</v>
      </c>
      <c r="B310" s="22" t="s">
        <v>818</v>
      </c>
      <c r="C310" s="27" t="s">
        <v>819</v>
      </c>
      <c r="D310" s="75" t="s">
        <v>820</v>
      </c>
      <c r="E310" s="4"/>
      <c r="F310" s="5"/>
      <c r="G310" s="25">
        <v>1740.0</v>
      </c>
      <c r="H310" s="32" t="s">
        <v>250</v>
      </c>
      <c r="I310" s="25">
        <v>3380.0</v>
      </c>
      <c r="J310" s="58"/>
      <c r="K310" s="9"/>
      <c r="L310" s="26"/>
      <c r="M310" s="26"/>
      <c r="N310" s="26"/>
    </row>
    <row r="311" ht="21.75" customHeight="1">
      <c r="A311" s="27" t="s">
        <v>821</v>
      </c>
      <c r="B311" s="22" t="s">
        <v>822</v>
      </c>
      <c r="C311" s="27" t="s">
        <v>823</v>
      </c>
      <c r="D311" s="75" t="s">
        <v>824</v>
      </c>
      <c r="E311" s="28" t="s">
        <v>825</v>
      </c>
      <c r="G311" s="25">
        <v>1072.0</v>
      </c>
      <c r="H311" s="32" t="s">
        <v>250</v>
      </c>
      <c r="I311" s="25">
        <v>1650.0</v>
      </c>
      <c r="J311" s="42"/>
      <c r="K311" s="9">
        <v>1100.0</v>
      </c>
      <c r="L311" s="26"/>
      <c r="M311" s="26"/>
      <c r="N311" s="26"/>
    </row>
    <row r="312" ht="21.75" hidden="1" customHeight="1">
      <c r="A312" s="27" t="s">
        <v>826</v>
      </c>
      <c r="B312" s="22" t="s">
        <v>827</v>
      </c>
      <c r="C312" s="27" t="s">
        <v>828</v>
      </c>
      <c r="D312" s="32"/>
      <c r="E312" s="4"/>
      <c r="F312" s="5"/>
      <c r="G312" s="25"/>
      <c r="H312" s="32"/>
      <c r="I312" s="8"/>
      <c r="J312" s="42"/>
      <c r="K312" s="9"/>
      <c r="L312" s="26"/>
      <c r="M312" s="26"/>
      <c r="N312" s="26"/>
    </row>
    <row r="313" ht="21.75" hidden="1" customHeight="1">
      <c r="A313" s="27" t="s">
        <v>829</v>
      </c>
      <c r="B313" s="22" t="s">
        <v>830</v>
      </c>
      <c r="C313" s="27" t="s">
        <v>831</v>
      </c>
      <c r="D313" s="92" t="s">
        <v>816</v>
      </c>
      <c r="E313" s="4">
        <v>2.0</v>
      </c>
      <c r="F313" s="5" t="s">
        <v>15</v>
      </c>
      <c r="G313" s="25"/>
      <c r="H313" s="72"/>
      <c r="I313" s="8"/>
      <c r="J313" s="9"/>
      <c r="K313" s="9"/>
      <c r="L313" s="26"/>
      <c r="M313" s="26"/>
      <c r="N313" s="26"/>
    </row>
    <row r="314" ht="21.75" hidden="1" customHeight="1">
      <c r="A314" s="27" t="s">
        <v>832</v>
      </c>
      <c r="B314" s="22" t="s">
        <v>833</v>
      </c>
      <c r="C314" s="27" t="s">
        <v>834</v>
      </c>
      <c r="D314" s="32"/>
      <c r="E314" s="4"/>
      <c r="F314" s="5"/>
      <c r="G314" s="25"/>
      <c r="H314" s="37"/>
      <c r="I314" s="8"/>
      <c r="J314" s="9"/>
      <c r="K314" s="9"/>
      <c r="L314" s="26"/>
      <c r="M314" s="26"/>
      <c r="N314" s="26"/>
    </row>
    <row r="315" ht="21.75" hidden="1" customHeight="1">
      <c r="A315" s="27" t="s">
        <v>835</v>
      </c>
      <c r="B315" s="22" t="s">
        <v>836</v>
      </c>
      <c r="C315" s="27" t="s">
        <v>837</v>
      </c>
      <c r="D315" s="32"/>
      <c r="E315" s="4"/>
      <c r="F315" s="5"/>
      <c r="G315" s="6"/>
      <c r="H315" s="37"/>
      <c r="I315" s="8"/>
      <c r="J315" s="9"/>
      <c r="K315" s="9"/>
      <c r="L315" s="26"/>
      <c r="M315" s="26"/>
      <c r="N315" s="26"/>
    </row>
    <row r="316" ht="21.75" hidden="1" customHeight="1">
      <c r="A316" s="27" t="s">
        <v>838</v>
      </c>
      <c r="B316" s="22" t="s">
        <v>839</v>
      </c>
      <c r="C316" s="27" t="s">
        <v>840</v>
      </c>
      <c r="D316" s="32"/>
      <c r="E316" s="4"/>
      <c r="F316" s="5"/>
      <c r="G316" s="6"/>
      <c r="H316" s="37"/>
      <c r="I316" s="8"/>
      <c r="J316" s="9"/>
      <c r="K316" s="9"/>
      <c r="L316" s="26"/>
      <c r="M316" s="26"/>
      <c r="N316" s="26"/>
    </row>
    <row r="317" ht="21.75" hidden="1" customHeight="1">
      <c r="A317" s="27" t="s">
        <v>841</v>
      </c>
      <c r="B317" s="5" t="s">
        <v>842</v>
      </c>
      <c r="C317" s="5" t="s">
        <v>843</v>
      </c>
      <c r="D317" s="32"/>
      <c r="E317" s="4"/>
      <c r="F317" s="5"/>
      <c r="G317" s="6">
        <v>4500.0</v>
      </c>
      <c r="H317" s="37" t="s">
        <v>250</v>
      </c>
      <c r="I317" s="8"/>
      <c r="J317" s="9"/>
      <c r="K317" s="9"/>
      <c r="L317" s="26"/>
      <c r="M317" s="26"/>
      <c r="N317" s="26"/>
    </row>
    <row r="318" ht="21.75" hidden="1" customHeight="1">
      <c r="A318" s="27" t="s">
        <v>844</v>
      </c>
      <c r="B318" s="5" t="s">
        <v>845</v>
      </c>
      <c r="C318" s="5" t="s">
        <v>846</v>
      </c>
      <c r="D318" s="32"/>
      <c r="E318" s="4"/>
      <c r="F318" s="5"/>
      <c r="G318" s="6"/>
      <c r="H318" s="37"/>
      <c r="I318" s="8"/>
      <c r="J318" s="9"/>
      <c r="K318" s="9"/>
      <c r="L318" s="26"/>
      <c r="M318" s="26"/>
      <c r="N318" s="26"/>
    </row>
    <row r="319" ht="21.75" hidden="1" customHeight="1">
      <c r="A319" s="27" t="s">
        <v>847</v>
      </c>
      <c r="B319" s="5" t="s">
        <v>848</v>
      </c>
      <c r="C319" s="5" t="s">
        <v>849</v>
      </c>
      <c r="D319" s="32"/>
      <c r="E319" s="4"/>
      <c r="F319" s="5"/>
      <c r="G319" s="6"/>
      <c r="H319" s="37"/>
      <c r="I319" s="8"/>
      <c r="J319" s="9"/>
      <c r="K319" s="9"/>
      <c r="L319" s="26"/>
      <c r="M319" s="26"/>
      <c r="N319" s="26"/>
    </row>
    <row r="320" ht="21.75" hidden="1" customHeight="1">
      <c r="A320" s="27" t="s">
        <v>850</v>
      </c>
      <c r="B320" s="5" t="s">
        <v>851</v>
      </c>
      <c r="C320" s="5" t="s">
        <v>852</v>
      </c>
      <c r="D320" s="32"/>
      <c r="E320" s="4"/>
      <c r="F320" s="5"/>
      <c r="G320" s="6"/>
      <c r="H320" s="37"/>
      <c r="I320" s="8"/>
      <c r="J320" s="9"/>
      <c r="K320" s="9"/>
      <c r="L320" s="26"/>
      <c r="M320" s="26"/>
      <c r="N320" s="26"/>
    </row>
    <row r="321" ht="21.75" hidden="1" customHeight="1">
      <c r="A321" s="27" t="s">
        <v>853</v>
      </c>
      <c r="B321" s="5" t="s">
        <v>854</v>
      </c>
      <c r="C321" s="5" t="s">
        <v>855</v>
      </c>
      <c r="D321" s="32"/>
      <c r="E321" s="4"/>
      <c r="F321" s="5"/>
      <c r="G321" s="6"/>
      <c r="H321" s="37"/>
      <c r="I321" s="8"/>
      <c r="J321" s="9"/>
      <c r="K321" s="9"/>
      <c r="L321" s="26"/>
      <c r="M321" s="26"/>
      <c r="N321" s="26"/>
    </row>
    <row r="322" ht="21.75" hidden="1" customHeight="1">
      <c r="A322" s="27" t="s">
        <v>856</v>
      </c>
      <c r="B322" s="5" t="s">
        <v>857</v>
      </c>
      <c r="C322" s="5" t="s">
        <v>858</v>
      </c>
      <c r="D322" s="32"/>
      <c r="E322" s="4"/>
      <c r="F322" s="5"/>
      <c r="G322" s="6"/>
      <c r="H322" s="37"/>
      <c r="I322" s="8"/>
      <c r="J322" s="9"/>
      <c r="K322" s="9"/>
      <c r="L322" s="26"/>
      <c r="M322" s="26"/>
      <c r="N322" s="26"/>
    </row>
    <row r="323" ht="21.75" hidden="1" customHeight="1">
      <c r="A323" s="27" t="s">
        <v>859</v>
      </c>
      <c r="B323" s="5" t="s">
        <v>860</v>
      </c>
      <c r="C323" s="5" t="s">
        <v>861</v>
      </c>
      <c r="D323" s="32"/>
      <c r="E323" s="4"/>
      <c r="F323" s="5"/>
      <c r="G323" s="6"/>
      <c r="H323" s="37"/>
      <c r="I323" s="8"/>
      <c r="J323" s="9"/>
      <c r="K323" s="9"/>
      <c r="L323" s="26"/>
      <c r="M323" s="26"/>
      <c r="N323" s="26"/>
    </row>
    <row r="324" ht="21.75" hidden="1" customHeight="1">
      <c r="A324" s="27" t="s">
        <v>862</v>
      </c>
      <c r="B324" s="5" t="s">
        <v>863</v>
      </c>
      <c r="C324" s="5" t="s">
        <v>864</v>
      </c>
      <c r="D324" s="32"/>
      <c r="E324" s="4"/>
      <c r="F324" s="5"/>
      <c r="G324" s="6"/>
      <c r="H324" s="37"/>
      <c r="I324" s="8"/>
      <c r="J324" s="9"/>
      <c r="K324" s="9"/>
      <c r="L324" s="26"/>
      <c r="M324" s="26"/>
      <c r="N324" s="26"/>
    </row>
    <row r="325" ht="21.75" hidden="1" customHeight="1">
      <c r="A325" s="27"/>
      <c r="B325" s="55"/>
      <c r="C325" s="27"/>
      <c r="D325" s="32"/>
      <c r="E325" s="4"/>
      <c r="F325" s="5"/>
      <c r="G325" s="6"/>
      <c r="H325" s="37"/>
      <c r="I325" s="8"/>
      <c r="J325" s="9"/>
      <c r="K325" s="9"/>
      <c r="L325" s="26"/>
      <c r="M325" s="26"/>
      <c r="N325" s="26"/>
    </row>
    <row r="326" ht="31.5" hidden="1" customHeight="1">
      <c r="A326" s="43" t="s">
        <v>865</v>
      </c>
      <c r="B326" s="13"/>
      <c r="C326" s="11"/>
      <c r="D326" s="12"/>
      <c r="E326" s="20"/>
      <c r="F326" s="21"/>
      <c r="G326" s="14"/>
      <c r="H326" s="11"/>
      <c r="I326" s="15"/>
      <c r="J326" s="15"/>
      <c r="K326" s="16"/>
      <c r="L326" s="26"/>
      <c r="M326" s="26"/>
      <c r="N326" s="26"/>
    </row>
    <row r="327" ht="21.75" customHeight="1">
      <c r="A327" s="11" t="s">
        <v>0</v>
      </c>
      <c r="B327" s="11" t="s">
        <v>1</v>
      </c>
      <c r="C327" s="11" t="s">
        <v>2</v>
      </c>
      <c r="D327" s="12" t="s">
        <v>3</v>
      </c>
      <c r="E327" s="11" t="s">
        <v>4</v>
      </c>
      <c r="F327" s="13"/>
      <c r="G327" s="14" t="s">
        <v>5</v>
      </c>
      <c r="H327" s="11" t="s">
        <v>6</v>
      </c>
      <c r="I327" s="15" t="s">
        <v>7</v>
      </c>
      <c r="J327" s="15" t="s">
        <v>8</v>
      </c>
      <c r="K327" s="16" t="s">
        <v>9</v>
      </c>
      <c r="L327" s="17"/>
      <c r="M327" s="17"/>
      <c r="N327" s="17"/>
    </row>
    <row r="328" ht="21.75" hidden="1" customHeight="1">
      <c r="A328" s="22" t="s">
        <v>866</v>
      </c>
      <c r="B328" s="22" t="s">
        <v>867</v>
      </c>
      <c r="C328" s="27" t="s">
        <v>868</v>
      </c>
      <c r="D328" s="68" t="s">
        <v>869</v>
      </c>
      <c r="E328" s="4"/>
      <c r="F328" s="5"/>
      <c r="G328" s="25">
        <v>4390.0</v>
      </c>
      <c r="H328" s="58" t="s">
        <v>250</v>
      </c>
      <c r="I328" s="31"/>
      <c r="J328" s="9"/>
      <c r="K328" s="42"/>
      <c r="L328" s="26"/>
      <c r="M328" s="26"/>
      <c r="N328" s="26"/>
    </row>
    <row r="329" ht="21.75" customHeight="1">
      <c r="A329" s="22" t="s">
        <v>870</v>
      </c>
      <c r="B329" s="22" t="s">
        <v>871</v>
      </c>
      <c r="C329" s="27" t="s">
        <v>872</v>
      </c>
      <c r="D329" s="75" t="s">
        <v>873</v>
      </c>
      <c r="E329" s="4">
        <v>70.0</v>
      </c>
      <c r="F329" s="5" t="s">
        <v>15</v>
      </c>
      <c r="G329" s="25">
        <v>5400.0</v>
      </c>
      <c r="H329" s="58" t="s">
        <v>250</v>
      </c>
      <c r="I329" s="31">
        <v>10000.0</v>
      </c>
      <c r="J329" s="9"/>
      <c r="K329" s="58"/>
      <c r="L329" s="26"/>
      <c r="M329" s="26"/>
      <c r="N329" s="26"/>
    </row>
    <row r="330" ht="21.75" customHeight="1">
      <c r="A330" s="22" t="s">
        <v>874</v>
      </c>
      <c r="B330" s="22" t="s">
        <v>875</v>
      </c>
      <c r="C330" s="27" t="s">
        <v>876</v>
      </c>
      <c r="D330" s="68"/>
      <c r="E330" s="4">
        <v>11.0</v>
      </c>
      <c r="F330" s="5" t="s">
        <v>15</v>
      </c>
      <c r="G330" s="25">
        <v>6550.0</v>
      </c>
      <c r="H330" s="58" t="s">
        <v>254</v>
      </c>
      <c r="I330" s="31">
        <v>10000.0</v>
      </c>
      <c r="J330" s="9">
        <f>G330*11/12</f>
        <v>6004.166667</v>
      </c>
      <c r="K330" s="58"/>
      <c r="L330" s="26"/>
      <c r="M330" s="26"/>
      <c r="N330" s="26"/>
    </row>
    <row r="331" ht="21.75" customHeight="1">
      <c r="A331" s="22" t="s">
        <v>877</v>
      </c>
      <c r="B331" s="22" t="s">
        <v>878</v>
      </c>
      <c r="C331" s="27" t="s">
        <v>879</v>
      </c>
      <c r="D331" s="68" t="s">
        <v>880</v>
      </c>
      <c r="E331" s="4">
        <v>6.0</v>
      </c>
      <c r="F331" s="5" t="s">
        <v>15</v>
      </c>
      <c r="G331" s="25">
        <v>3150.0</v>
      </c>
      <c r="H331" s="58" t="s">
        <v>250</v>
      </c>
      <c r="I331" s="31">
        <v>10000.0</v>
      </c>
      <c r="J331" s="9"/>
      <c r="K331" s="58" t="s">
        <v>250</v>
      </c>
      <c r="L331" s="26"/>
      <c r="M331" s="26"/>
      <c r="N331" s="26"/>
    </row>
    <row r="332" ht="21.75" hidden="1" customHeight="1">
      <c r="A332" s="22" t="s">
        <v>881</v>
      </c>
      <c r="B332" s="22" t="s">
        <v>882</v>
      </c>
      <c r="C332" s="27" t="s">
        <v>879</v>
      </c>
      <c r="D332" s="68"/>
      <c r="E332" s="4"/>
      <c r="F332" s="5"/>
      <c r="G332" s="25">
        <v>2370.0</v>
      </c>
      <c r="H332" s="58" t="s">
        <v>250</v>
      </c>
      <c r="I332" s="31">
        <v>3950.0</v>
      </c>
      <c r="J332" s="9"/>
      <c r="K332" s="42"/>
      <c r="L332" s="26"/>
      <c r="M332" s="26"/>
      <c r="N332" s="26"/>
    </row>
    <row r="333" ht="21.75" customHeight="1">
      <c r="A333" s="22" t="s">
        <v>883</v>
      </c>
      <c r="B333" s="22" t="s">
        <v>884</v>
      </c>
      <c r="C333" s="27" t="s">
        <v>885</v>
      </c>
      <c r="D333" s="68" t="s">
        <v>886</v>
      </c>
      <c r="E333" s="4">
        <v>87.0</v>
      </c>
      <c r="F333" s="5" t="s">
        <v>15</v>
      </c>
      <c r="G333" s="25">
        <v>3550.0</v>
      </c>
      <c r="H333" s="58" t="s">
        <v>254</v>
      </c>
      <c r="I333" s="31">
        <v>5980.0</v>
      </c>
      <c r="J333" s="9">
        <f t="shared" ref="J333:J334" si="13">G333*11/12</f>
        <v>3254.166667</v>
      </c>
      <c r="K333" s="58"/>
      <c r="L333" s="26"/>
      <c r="M333" s="26"/>
      <c r="N333" s="26"/>
    </row>
    <row r="334" ht="21.75" customHeight="1">
      <c r="A334" s="22" t="s">
        <v>887</v>
      </c>
      <c r="B334" s="22" t="s">
        <v>888</v>
      </c>
      <c r="C334" s="27" t="s">
        <v>889</v>
      </c>
      <c r="D334" s="68"/>
      <c r="E334" s="4">
        <v>18.0</v>
      </c>
      <c r="F334" s="5" t="s">
        <v>15</v>
      </c>
      <c r="G334" s="25">
        <v>3550.0</v>
      </c>
      <c r="H334" s="58" t="s">
        <v>254</v>
      </c>
      <c r="I334" s="31">
        <v>5980.0</v>
      </c>
      <c r="J334" s="9">
        <f t="shared" si="13"/>
        <v>3254.166667</v>
      </c>
      <c r="K334" s="58"/>
      <c r="L334" s="26"/>
      <c r="M334" s="26"/>
      <c r="N334" s="26"/>
    </row>
    <row r="335" ht="21.75" hidden="1" customHeight="1">
      <c r="A335" s="27" t="s">
        <v>890</v>
      </c>
      <c r="B335" s="22" t="s">
        <v>891</v>
      </c>
      <c r="C335" s="27" t="s">
        <v>892</v>
      </c>
      <c r="D335" s="68" t="s">
        <v>893</v>
      </c>
      <c r="E335" s="4"/>
      <c r="F335" s="5"/>
      <c r="G335" s="25">
        <v>1950.0</v>
      </c>
      <c r="H335" s="58" t="s">
        <v>250</v>
      </c>
      <c r="I335" s="31">
        <v>2960.0</v>
      </c>
      <c r="J335" s="9"/>
      <c r="K335" s="42"/>
      <c r="L335" s="26"/>
      <c r="M335" s="26"/>
      <c r="N335" s="26"/>
    </row>
    <row r="336" ht="21.75" customHeight="1">
      <c r="A336" s="22" t="s">
        <v>894</v>
      </c>
      <c r="B336" s="22" t="s">
        <v>895</v>
      </c>
      <c r="C336" s="27" t="s">
        <v>896</v>
      </c>
      <c r="D336" s="68" t="s">
        <v>886</v>
      </c>
      <c r="E336" s="4">
        <v>5.0</v>
      </c>
      <c r="F336" s="5" t="s">
        <v>15</v>
      </c>
      <c r="G336" s="25">
        <v>2750.0</v>
      </c>
      <c r="H336" s="58" t="s">
        <v>254</v>
      </c>
      <c r="I336" s="31">
        <v>4680.0</v>
      </c>
      <c r="J336" s="9">
        <f>G336*11/12</f>
        <v>2520.833333</v>
      </c>
      <c r="K336" s="58"/>
      <c r="L336" s="26"/>
      <c r="M336" s="26"/>
      <c r="N336" s="26"/>
    </row>
    <row r="337" ht="21.75" hidden="1" customHeight="1">
      <c r="A337" s="27" t="s">
        <v>897</v>
      </c>
      <c r="B337" s="22" t="s">
        <v>898</v>
      </c>
      <c r="C337" s="27" t="s">
        <v>899</v>
      </c>
      <c r="D337" s="68" t="s">
        <v>900</v>
      </c>
      <c r="E337" s="4"/>
      <c r="F337" s="5"/>
      <c r="G337" s="25">
        <v>1180.0</v>
      </c>
      <c r="H337" s="58" t="s">
        <v>250</v>
      </c>
      <c r="I337" s="31">
        <v>1800.0</v>
      </c>
      <c r="J337" s="9"/>
      <c r="K337" s="42"/>
      <c r="L337" s="26"/>
      <c r="M337" s="26"/>
      <c r="N337" s="26"/>
    </row>
    <row r="338" ht="21.75" hidden="1" customHeight="1">
      <c r="A338" s="27" t="s">
        <v>901</v>
      </c>
      <c r="B338" s="22" t="s">
        <v>902</v>
      </c>
      <c r="C338" s="27" t="s">
        <v>903</v>
      </c>
      <c r="D338" s="68" t="s">
        <v>904</v>
      </c>
      <c r="E338" s="4"/>
      <c r="F338" s="5"/>
      <c r="G338" s="25">
        <v>895.0</v>
      </c>
      <c r="H338" s="58" t="s">
        <v>250</v>
      </c>
      <c r="I338" s="31">
        <v>1100.0</v>
      </c>
      <c r="J338" s="9"/>
      <c r="K338" s="42"/>
      <c r="L338" s="26"/>
      <c r="M338" s="26"/>
      <c r="N338" s="26"/>
    </row>
    <row r="339" ht="21.75" hidden="1" customHeight="1">
      <c r="A339" s="27" t="s">
        <v>905</v>
      </c>
      <c r="B339" s="22" t="s">
        <v>906</v>
      </c>
      <c r="C339" s="27" t="s">
        <v>907</v>
      </c>
      <c r="D339" s="51"/>
      <c r="E339" s="4"/>
      <c r="F339" s="5"/>
      <c r="G339" s="25">
        <v>595.0</v>
      </c>
      <c r="H339" s="58" t="s">
        <v>250</v>
      </c>
      <c r="I339" s="31">
        <v>1390.0</v>
      </c>
      <c r="J339" s="9"/>
      <c r="K339" s="42"/>
      <c r="L339" s="26"/>
      <c r="M339" s="26"/>
      <c r="N339" s="26"/>
    </row>
    <row r="340" ht="21.75" hidden="1" customHeight="1">
      <c r="A340" s="27" t="s">
        <v>908</v>
      </c>
      <c r="B340" s="22" t="s">
        <v>909</v>
      </c>
      <c r="C340" s="27" t="s">
        <v>910</v>
      </c>
      <c r="D340" s="51"/>
      <c r="E340" s="4"/>
      <c r="F340" s="5"/>
      <c r="G340" s="25">
        <v>680.0</v>
      </c>
      <c r="H340" s="58" t="s">
        <v>254</v>
      </c>
      <c r="I340" s="31">
        <v>1080.0</v>
      </c>
      <c r="J340" s="9">
        <f t="shared" ref="J340:J342" si="14">G340*11/12</f>
        <v>623.3333333</v>
      </c>
      <c r="K340" s="9"/>
      <c r="L340" s="26"/>
      <c r="M340" s="26"/>
      <c r="N340" s="26"/>
    </row>
    <row r="341" ht="21.75" customHeight="1">
      <c r="A341" s="27" t="s">
        <v>911</v>
      </c>
      <c r="B341" s="22" t="s">
        <v>912</v>
      </c>
      <c r="C341" s="27" t="s">
        <v>913</v>
      </c>
      <c r="D341" s="51"/>
      <c r="E341" s="4">
        <v>88.0</v>
      </c>
      <c r="F341" s="5" t="s">
        <v>15</v>
      </c>
      <c r="G341" s="25">
        <v>860.0</v>
      </c>
      <c r="H341" s="58" t="s">
        <v>254</v>
      </c>
      <c r="I341" s="31">
        <v>1390.0</v>
      </c>
      <c r="J341" s="9">
        <f t="shared" si="14"/>
        <v>788.3333333</v>
      </c>
      <c r="K341" s="9"/>
      <c r="L341" s="26"/>
      <c r="M341" s="26"/>
      <c r="N341" s="26"/>
    </row>
    <row r="342" ht="21.75" customHeight="1">
      <c r="A342" s="27" t="s">
        <v>914</v>
      </c>
      <c r="B342" s="22" t="s">
        <v>915</v>
      </c>
      <c r="C342" s="27" t="s">
        <v>916</v>
      </c>
      <c r="D342" s="51"/>
      <c r="E342" s="4">
        <v>53.0</v>
      </c>
      <c r="F342" s="5" t="s">
        <v>15</v>
      </c>
      <c r="G342" s="25">
        <v>860.0</v>
      </c>
      <c r="H342" s="58" t="s">
        <v>254</v>
      </c>
      <c r="I342" s="31">
        <v>1390.0</v>
      </c>
      <c r="J342" s="9">
        <f t="shared" si="14"/>
        <v>788.3333333</v>
      </c>
      <c r="K342" s="9"/>
      <c r="L342" s="26"/>
      <c r="M342" s="26"/>
      <c r="N342" s="26"/>
    </row>
    <row r="343" ht="21.75" hidden="1" customHeight="1">
      <c r="A343" s="2"/>
      <c r="B343" s="2"/>
      <c r="C343" s="2"/>
      <c r="D343" s="3"/>
      <c r="E343" s="4"/>
      <c r="F343" s="5"/>
      <c r="G343" s="6"/>
      <c r="H343" s="7"/>
      <c r="I343" s="8"/>
      <c r="J343" s="9"/>
      <c r="K343" s="9"/>
      <c r="L343" s="26"/>
      <c r="M343" s="26"/>
      <c r="N343" s="26"/>
    </row>
    <row r="344" ht="31.5" hidden="1" customHeight="1">
      <c r="A344" s="43" t="s">
        <v>917</v>
      </c>
      <c r="B344" s="13"/>
      <c r="C344" s="11"/>
      <c r="D344" s="12"/>
      <c r="E344" s="20"/>
      <c r="F344" s="21"/>
      <c r="G344" s="14"/>
      <c r="H344" s="11"/>
      <c r="I344" s="15"/>
      <c r="J344" s="15"/>
      <c r="K344" s="16"/>
      <c r="L344" s="26"/>
      <c r="M344" s="26"/>
      <c r="N344" s="26"/>
    </row>
    <row r="345" ht="21.75" customHeight="1">
      <c r="A345" s="11" t="s">
        <v>0</v>
      </c>
      <c r="B345" s="11" t="s">
        <v>1</v>
      </c>
      <c r="C345" s="11" t="s">
        <v>2</v>
      </c>
      <c r="D345" s="12" t="s">
        <v>3</v>
      </c>
      <c r="E345" s="11" t="s">
        <v>4</v>
      </c>
      <c r="F345" s="13"/>
      <c r="G345" s="14" t="s">
        <v>5</v>
      </c>
      <c r="H345" s="11" t="s">
        <v>6</v>
      </c>
      <c r="I345" s="15" t="s">
        <v>7</v>
      </c>
      <c r="J345" s="15" t="s">
        <v>8</v>
      </c>
      <c r="K345" s="16" t="s">
        <v>9</v>
      </c>
      <c r="L345" s="17"/>
      <c r="M345" s="17"/>
      <c r="N345" s="17"/>
    </row>
    <row r="346" ht="21.75" hidden="1" customHeight="1">
      <c r="A346" s="53" t="s">
        <v>918</v>
      </c>
      <c r="B346" s="53" t="s">
        <v>919</v>
      </c>
      <c r="C346" s="27" t="s">
        <v>920</v>
      </c>
      <c r="D346" s="51"/>
      <c r="E346" s="4"/>
      <c r="F346" s="5"/>
      <c r="G346" s="9">
        <v>710.0</v>
      </c>
      <c r="H346" s="32" t="s">
        <v>254</v>
      </c>
      <c r="I346" s="25">
        <v>1300.0</v>
      </c>
      <c r="J346" s="25">
        <f t="shared" ref="J346:J347" si="15">G346*11/12</f>
        <v>650.8333333</v>
      </c>
      <c r="K346" s="9"/>
      <c r="L346" s="26"/>
      <c r="M346" s="26"/>
      <c r="N346" s="26"/>
    </row>
    <row r="347" ht="12.75" customHeight="1">
      <c r="A347" s="30" t="s">
        <v>921</v>
      </c>
      <c r="B347" s="30" t="s">
        <v>922</v>
      </c>
      <c r="C347" s="5" t="s">
        <v>923</v>
      </c>
      <c r="D347" s="51"/>
      <c r="E347" s="4">
        <v>107.0</v>
      </c>
      <c r="F347" s="5" t="s">
        <v>15</v>
      </c>
      <c r="G347" s="58">
        <v>710.0</v>
      </c>
      <c r="H347" s="35" t="s">
        <v>254</v>
      </c>
      <c r="I347" s="50">
        <v>1300.0</v>
      </c>
      <c r="J347" s="50">
        <f t="shared" si="15"/>
        <v>650.8333333</v>
      </c>
      <c r="K347" s="9"/>
      <c r="L347" s="26"/>
      <c r="M347" s="26"/>
      <c r="N347" s="26"/>
    </row>
    <row r="348" ht="12.75" customHeight="1">
      <c r="K348" s="9"/>
      <c r="L348" s="26"/>
      <c r="M348" s="26"/>
      <c r="N348" s="26"/>
    </row>
    <row r="349" ht="21.75" hidden="1" customHeight="1">
      <c r="A349" s="53" t="s">
        <v>924</v>
      </c>
      <c r="B349" s="53" t="s">
        <v>925</v>
      </c>
      <c r="C349" s="27" t="s">
        <v>926</v>
      </c>
      <c r="D349" s="51"/>
      <c r="E349" s="4"/>
      <c r="F349" s="5"/>
      <c r="G349" s="9">
        <v>710.0</v>
      </c>
      <c r="H349" s="32" t="s">
        <v>254</v>
      </c>
      <c r="I349" s="25">
        <v>1300.0</v>
      </c>
      <c r="J349" s="25">
        <f t="shared" ref="J349:J350" si="16">G349*11/12</f>
        <v>650.8333333</v>
      </c>
      <c r="K349" s="9"/>
      <c r="L349" s="26"/>
      <c r="M349" s="26"/>
      <c r="N349" s="26"/>
    </row>
    <row r="350" ht="12.75" customHeight="1">
      <c r="A350" s="30" t="s">
        <v>927</v>
      </c>
      <c r="B350" s="30" t="s">
        <v>928</v>
      </c>
      <c r="C350" s="5" t="s">
        <v>929</v>
      </c>
      <c r="D350" s="51"/>
      <c r="E350" s="4">
        <v>107.0</v>
      </c>
      <c r="F350" s="5" t="s">
        <v>15</v>
      </c>
      <c r="G350" s="58">
        <v>710.0</v>
      </c>
      <c r="H350" s="32" t="s">
        <v>254</v>
      </c>
      <c r="I350" s="50">
        <v>1300.0</v>
      </c>
      <c r="J350" s="50">
        <f t="shared" si="16"/>
        <v>650.8333333</v>
      </c>
      <c r="K350" s="9"/>
      <c r="L350" s="26"/>
      <c r="M350" s="26"/>
      <c r="N350" s="26"/>
    </row>
    <row r="351" ht="12.75" customHeight="1">
      <c r="K351" s="9"/>
      <c r="L351" s="26"/>
      <c r="M351" s="26"/>
      <c r="N351" s="26"/>
    </row>
    <row r="352" ht="21.75" hidden="1" customHeight="1">
      <c r="A352" s="53" t="s">
        <v>930</v>
      </c>
      <c r="B352" s="53" t="s">
        <v>931</v>
      </c>
      <c r="C352" s="27" t="s">
        <v>932</v>
      </c>
      <c r="D352" s="51"/>
      <c r="E352" s="4"/>
      <c r="F352" s="5"/>
      <c r="G352" s="9">
        <v>455.0</v>
      </c>
      <c r="H352" s="32" t="s">
        <v>254</v>
      </c>
      <c r="I352" s="25">
        <v>1000.0</v>
      </c>
      <c r="J352" s="25">
        <f t="shared" ref="J352:J358" si="17">G352*11/12</f>
        <v>417.0833333</v>
      </c>
      <c r="K352" s="9"/>
      <c r="L352" s="26"/>
      <c r="M352" s="26"/>
      <c r="N352" s="26"/>
    </row>
    <row r="353" ht="21.75" customHeight="1">
      <c r="A353" s="53" t="s">
        <v>933</v>
      </c>
      <c r="B353" s="53" t="s">
        <v>934</v>
      </c>
      <c r="C353" s="27" t="s">
        <v>935</v>
      </c>
      <c r="D353" s="51"/>
      <c r="E353" s="4">
        <v>625.0</v>
      </c>
      <c r="F353" s="5" t="s">
        <v>15</v>
      </c>
      <c r="G353" s="9">
        <v>455.0</v>
      </c>
      <c r="H353" s="32" t="s">
        <v>254</v>
      </c>
      <c r="I353" s="25">
        <v>1000.0</v>
      </c>
      <c r="J353" s="25">
        <f t="shared" si="17"/>
        <v>417.0833333</v>
      </c>
      <c r="K353" s="9"/>
      <c r="L353" s="26"/>
      <c r="M353" s="26"/>
      <c r="N353" s="26"/>
    </row>
    <row r="354" ht="21.75" customHeight="1">
      <c r="A354" s="53" t="s">
        <v>936</v>
      </c>
      <c r="B354" s="53" t="s">
        <v>937</v>
      </c>
      <c r="C354" s="27" t="s">
        <v>938</v>
      </c>
      <c r="D354" s="51"/>
      <c r="E354" s="4">
        <v>326.0</v>
      </c>
      <c r="F354" s="5" t="s">
        <v>15</v>
      </c>
      <c r="G354" s="9">
        <v>455.0</v>
      </c>
      <c r="H354" s="32" t="s">
        <v>254</v>
      </c>
      <c r="I354" s="25">
        <v>1000.0</v>
      </c>
      <c r="J354" s="25">
        <f t="shared" si="17"/>
        <v>417.0833333</v>
      </c>
      <c r="K354" s="9">
        <v>650.0</v>
      </c>
      <c r="L354" s="26"/>
      <c r="M354" s="26"/>
      <c r="N354" s="26"/>
    </row>
    <row r="355" ht="21.75" hidden="1" customHeight="1">
      <c r="A355" s="53" t="s">
        <v>939</v>
      </c>
      <c r="B355" s="53" t="s">
        <v>940</v>
      </c>
      <c r="C355" s="27" t="s">
        <v>941</v>
      </c>
      <c r="D355" s="28"/>
      <c r="E355" s="4"/>
      <c r="F355" s="5"/>
      <c r="G355" s="9">
        <v>325.0</v>
      </c>
      <c r="H355" s="32" t="s">
        <v>254</v>
      </c>
      <c r="I355" s="25">
        <v>750.0</v>
      </c>
      <c r="J355" s="25">
        <f t="shared" si="17"/>
        <v>297.9166667</v>
      </c>
      <c r="K355" s="9">
        <v>500.0</v>
      </c>
      <c r="L355" s="26"/>
      <c r="M355" s="26"/>
      <c r="N355" s="26"/>
    </row>
    <row r="356" ht="21.75" hidden="1" customHeight="1">
      <c r="A356" s="53" t="s">
        <v>942</v>
      </c>
      <c r="B356" s="53" t="s">
        <v>943</v>
      </c>
      <c r="C356" s="27" t="s">
        <v>944</v>
      </c>
      <c r="D356" s="51"/>
      <c r="E356" s="4"/>
      <c r="F356" s="5"/>
      <c r="G356" s="9">
        <v>325.0</v>
      </c>
      <c r="H356" s="32" t="s">
        <v>254</v>
      </c>
      <c r="I356" s="25">
        <v>750.0</v>
      </c>
      <c r="J356" s="25">
        <f t="shared" si="17"/>
        <v>297.9166667</v>
      </c>
      <c r="K356" s="9"/>
      <c r="L356" s="26"/>
      <c r="M356" s="26"/>
      <c r="N356" s="26"/>
    </row>
    <row r="357" ht="21.75" hidden="1" customHeight="1">
      <c r="A357" s="53" t="s">
        <v>945</v>
      </c>
      <c r="B357" s="53" t="s">
        <v>946</v>
      </c>
      <c r="C357" s="27" t="s">
        <v>947</v>
      </c>
      <c r="D357" s="28"/>
      <c r="E357" s="4"/>
      <c r="F357" s="5"/>
      <c r="G357" s="9">
        <v>325.0</v>
      </c>
      <c r="H357" s="32" t="s">
        <v>254</v>
      </c>
      <c r="I357" s="25">
        <v>750.0</v>
      </c>
      <c r="J357" s="25">
        <f t="shared" si="17"/>
        <v>297.9166667</v>
      </c>
      <c r="K357" s="9"/>
      <c r="L357" s="26"/>
      <c r="M357" s="26"/>
      <c r="N357" s="26"/>
    </row>
    <row r="358" ht="12.75" customHeight="1">
      <c r="A358" s="30" t="s">
        <v>948</v>
      </c>
      <c r="B358" s="30" t="s">
        <v>949</v>
      </c>
      <c r="C358" s="5" t="s">
        <v>950</v>
      </c>
      <c r="D358" s="28"/>
      <c r="E358" s="4">
        <v>1067.0</v>
      </c>
      <c r="F358" s="5" t="s">
        <v>15</v>
      </c>
      <c r="G358" s="58">
        <v>340.0</v>
      </c>
      <c r="H358" s="32" t="s">
        <v>254</v>
      </c>
      <c r="I358" s="50">
        <v>750.0</v>
      </c>
      <c r="J358" s="50">
        <f t="shared" si="17"/>
        <v>311.6666667</v>
      </c>
      <c r="K358" s="9"/>
      <c r="L358" s="26"/>
      <c r="M358" s="26"/>
      <c r="N358" s="26"/>
    </row>
    <row r="359" ht="12.75" customHeight="1">
      <c r="B359" s="53"/>
      <c r="K359" s="9"/>
      <c r="L359" s="26"/>
      <c r="M359" s="26"/>
      <c r="N359" s="26"/>
    </row>
    <row r="360" ht="21.75" customHeight="1">
      <c r="A360" s="53" t="s">
        <v>951</v>
      </c>
      <c r="B360" s="53" t="s">
        <v>952</v>
      </c>
      <c r="C360" s="27" t="s">
        <v>953</v>
      </c>
      <c r="D360" s="28"/>
      <c r="E360" s="4">
        <v>681.0</v>
      </c>
      <c r="F360" s="5" t="s">
        <v>15</v>
      </c>
      <c r="G360" s="9">
        <v>550.0</v>
      </c>
      <c r="H360" s="32" t="s">
        <v>254</v>
      </c>
      <c r="I360" s="25">
        <v>1200.0</v>
      </c>
      <c r="J360" s="25">
        <f t="shared" ref="J360:J361" si="18">G360*11/12</f>
        <v>504.1666667</v>
      </c>
      <c r="K360" s="9"/>
      <c r="L360" s="26"/>
      <c r="M360" s="26"/>
      <c r="N360" s="26"/>
    </row>
    <row r="361" ht="12.75" customHeight="1">
      <c r="A361" s="30" t="s">
        <v>954</v>
      </c>
      <c r="B361" s="30" t="s">
        <v>955</v>
      </c>
      <c r="C361" s="5" t="s">
        <v>956</v>
      </c>
      <c r="D361" s="28"/>
      <c r="E361" s="4">
        <v>263.0</v>
      </c>
      <c r="F361" s="5" t="s">
        <v>15</v>
      </c>
      <c r="G361" s="58">
        <v>445.0</v>
      </c>
      <c r="H361" s="32" t="s">
        <v>254</v>
      </c>
      <c r="I361" s="50">
        <v>1000.0</v>
      </c>
      <c r="J361" s="50">
        <f t="shared" si="18"/>
        <v>407.9166667</v>
      </c>
      <c r="K361" s="9"/>
      <c r="L361" s="26"/>
      <c r="M361" s="26"/>
      <c r="N361" s="26"/>
    </row>
    <row r="362" ht="12.75" customHeight="1">
      <c r="K362" s="9"/>
      <c r="L362" s="26"/>
      <c r="M362" s="26"/>
      <c r="N362" s="26"/>
    </row>
    <row r="363" ht="21.75" hidden="1" customHeight="1">
      <c r="A363" s="53" t="s">
        <v>957</v>
      </c>
      <c r="B363" s="53" t="s">
        <v>958</v>
      </c>
      <c r="C363" s="27" t="s">
        <v>959</v>
      </c>
      <c r="D363" s="28"/>
      <c r="E363" s="4"/>
      <c r="F363" s="5"/>
      <c r="G363" s="25">
        <v>450.0</v>
      </c>
      <c r="H363" s="32" t="s">
        <v>254</v>
      </c>
      <c r="I363" s="25">
        <v>750.0</v>
      </c>
      <c r="J363" s="9">
        <f>G363*11/12</f>
        <v>412.5</v>
      </c>
      <c r="K363" s="9"/>
      <c r="L363" s="26"/>
      <c r="M363" s="26"/>
      <c r="N363" s="26"/>
    </row>
    <row r="364" ht="21.75" hidden="1" customHeight="1">
      <c r="A364" s="53"/>
      <c r="B364" s="53"/>
      <c r="C364" s="27"/>
      <c r="D364" s="28"/>
      <c r="E364" s="4"/>
      <c r="F364" s="5"/>
      <c r="G364" s="25"/>
      <c r="H364" s="32"/>
      <c r="I364" s="25"/>
      <c r="J364" s="9"/>
      <c r="K364" s="9"/>
      <c r="L364" s="26"/>
      <c r="M364" s="26"/>
      <c r="N364" s="26"/>
    </row>
    <row r="365" ht="31.5" hidden="1" customHeight="1">
      <c r="A365" s="43" t="s">
        <v>960</v>
      </c>
      <c r="B365" s="13"/>
      <c r="C365" s="11"/>
      <c r="D365" s="12"/>
      <c r="E365" s="20"/>
      <c r="F365" s="21"/>
      <c r="G365" s="14"/>
      <c r="H365" s="11"/>
      <c r="I365" s="15"/>
      <c r="J365" s="15"/>
      <c r="K365" s="16"/>
      <c r="L365" s="26"/>
      <c r="M365" s="26"/>
      <c r="N365" s="26"/>
    </row>
    <row r="366" ht="21.75" customHeight="1">
      <c r="A366" s="11" t="s">
        <v>0</v>
      </c>
      <c r="B366" s="11" t="s">
        <v>1</v>
      </c>
      <c r="C366" s="11" t="s">
        <v>2</v>
      </c>
      <c r="D366" s="12" t="s">
        <v>3</v>
      </c>
      <c r="E366" s="11" t="s">
        <v>4</v>
      </c>
      <c r="F366" s="13"/>
      <c r="G366" s="14" t="s">
        <v>5</v>
      </c>
      <c r="H366" s="11" t="s">
        <v>6</v>
      </c>
      <c r="I366" s="15" t="s">
        <v>7</v>
      </c>
      <c r="J366" s="15" t="s">
        <v>8</v>
      </c>
      <c r="K366" s="16" t="s">
        <v>9</v>
      </c>
      <c r="L366" s="17"/>
      <c r="M366" s="17"/>
      <c r="N366" s="17"/>
    </row>
    <row r="367" ht="21.75" hidden="1" customHeight="1">
      <c r="A367" s="27" t="s">
        <v>961</v>
      </c>
      <c r="B367" s="22" t="s">
        <v>962</v>
      </c>
      <c r="C367" s="27" t="s">
        <v>963</v>
      </c>
      <c r="D367" s="32"/>
      <c r="E367" s="4"/>
      <c r="F367" s="5"/>
      <c r="G367" s="9">
        <v>440.0</v>
      </c>
      <c r="H367" s="32" t="s">
        <v>964</v>
      </c>
      <c r="I367" s="25">
        <v>680.0</v>
      </c>
      <c r="J367" s="25">
        <v>393.0</v>
      </c>
      <c r="K367" s="9"/>
      <c r="L367" s="26"/>
      <c r="M367" s="26"/>
      <c r="N367" s="26"/>
    </row>
    <row r="368" ht="21.75" hidden="1" customHeight="1">
      <c r="A368" s="5"/>
      <c r="B368" s="5"/>
      <c r="C368" s="5"/>
      <c r="D368" s="3"/>
      <c r="E368" s="4"/>
      <c r="F368" s="5"/>
      <c r="G368" s="9"/>
      <c r="H368" s="32"/>
      <c r="I368" s="42"/>
      <c r="J368" s="71"/>
      <c r="K368" s="9"/>
      <c r="L368" s="26"/>
      <c r="M368" s="26"/>
      <c r="N368" s="26"/>
    </row>
    <row r="369" ht="31.5" hidden="1" customHeight="1">
      <c r="A369" s="43" t="s">
        <v>965</v>
      </c>
      <c r="B369" s="13"/>
      <c r="C369" s="11"/>
      <c r="D369" s="12"/>
      <c r="E369" s="20"/>
      <c r="F369" s="21"/>
      <c r="G369" s="14"/>
      <c r="H369" s="11"/>
      <c r="I369" s="15"/>
      <c r="J369" s="15"/>
      <c r="K369" s="16"/>
      <c r="L369" s="26"/>
      <c r="M369" s="26"/>
      <c r="N369" s="26"/>
    </row>
    <row r="370" ht="21.75" customHeight="1">
      <c r="A370" s="11" t="s">
        <v>0</v>
      </c>
      <c r="B370" s="11" t="s">
        <v>1</v>
      </c>
      <c r="C370" s="11" t="s">
        <v>2</v>
      </c>
      <c r="D370" s="12" t="s">
        <v>3</v>
      </c>
      <c r="E370" s="11" t="s">
        <v>4</v>
      </c>
      <c r="F370" s="13"/>
      <c r="G370" s="14" t="s">
        <v>5</v>
      </c>
      <c r="H370" s="11" t="s">
        <v>6</v>
      </c>
      <c r="I370" s="15" t="s">
        <v>7</v>
      </c>
      <c r="J370" s="15" t="s">
        <v>8</v>
      </c>
      <c r="K370" s="16" t="s">
        <v>9</v>
      </c>
      <c r="L370" s="17"/>
      <c r="M370" s="17"/>
      <c r="N370" s="17"/>
    </row>
    <row r="371" ht="21.75" hidden="1" customHeight="1">
      <c r="A371" s="27" t="s">
        <v>966</v>
      </c>
      <c r="B371" s="5" t="s">
        <v>967</v>
      </c>
      <c r="C371" s="5" t="s">
        <v>968</v>
      </c>
      <c r="D371" s="32"/>
      <c r="E371" s="4"/>
      <c r="F371" s="5"/>
      <c r="G371" s="6"/>
      <c r="H371" s="7"/>
      <c r="I371" s="8"/>
      <c r="J371" s="9"/>
      <c r="K371" s="9"/>
      <c r="L371" s="26"/>
      <c r="M371" s="26"/>
      <c r="N371" s="26"/>
    </row>
    <row r="372" ht="21.75" hidden="1" customHeight="1">
      <c r="A372" s="27"/>
      <c r="B372" s="53"/>
      <c r="C372" s="27"/>
      <c r="D372" s="32"/>
      <c r="E372" s="4"/>
      <c r="F372" s="5"/>
      <c r="G372" s="6"/>
      <c r="H372" s="7"/>
      <c r="I372" s="8"/>
      <c r="J372" s="9"/>
      <c r="K372" s="9"/>
      <c r="L372" s="26"/>
      <c r="M372" s="26"/>
      <c r="N372" s="26"/>
    </row>
    <row r="373" ht="31.5" hidden="1" customHeight="1">
      <c r="A373" s="43" t="s">
        <v>969</v>
      </c>
      <c r="B373" s="13"/>
      <c r="C373" s="93"/>
      <c r="D373" s="11"/>
      <c r="E373" s="20"/>
      <c r="F373" s="21"/>
      <c r="G373" s="45"/>
      <c r="H373" s="46"/>
      <c r="I373" s="94"/>
      <c r="J373" s="95"/>
      <c r="K373" s="95"/>
      <c r="L373" s="26"/>
      <c r="M373" s="26"/>
      <c r="N373" s="26"/>
    </row>
    <row r="374" ht="21.75" customHeight="1">
      <c r="A374" s="11" t="s">
        <v>0</v>
      </c>
      <c r="B374" s="11" t="s">
        <v>1</v>
      </c>
      <c r="C374" s="11" t="s">
        <v>2</v>
      </c>
      <c r="D374" s="12" t="s">
        <v>3</v>
      </c>
      <c r="E374" s="11" t="s">
        <v>4</v>
      </c>
      <c r="F374" s="13"/>
      <c r="G374" s="14" t="s">
        <v>5</v>
      </c>
      <c r="H374" s="11" t="s">
        <v>6</v>
      </c>
      <c r="I374" s="15" t="s">
        <v>7</v>
      </c>
      <c r="J374" s="15" t="s">
        <v>8</v>
      </c>
      <c r="K374" s="16" t="s">
        <v>9</v>
      </c>
      <c r="L374" s="17"/>
      <c r="M374" s="17"/>
      <c r="N374" s="17"/>
    </row>
    <row r="375" ht="21.75" customHeight="1">
      <c r="A375" s="38" t="s">
        <v>970</v>
      </c>
      <c r="B375" s="38" t="s">
        <v>971</v>
      </c>
      <c r="C375" s="27" t="s">
        <v>972</v>
      </c>
      <c r="D375" s="68" t="s">
        <v>973</v>
      </c>
      <c r="E375" s="4">
        <v>34.0</v>
      </c>
      <c r="F375" s="5" t="s">
        <v>15</v>
      </c>
      <c r="G375" s="25">
        <v>3110.0</v>
      </c>
      <c r="H375" s="32" t="s">
        <v>254</v>
      </c>
      <c r="I375" s="25">
        <v>5800.0</v>
      </c>
      <c r="J375" s="9">
        <f t="shared" ref="J375:J379" si="19">G375*11/12</f>
        <v>2850.833333</v>
      </c>
      <c r="K375" s="9"/>
      <c r="L375" s="26"/>
      <c r="M375" s="26"/>
      <c r="N375" s="26"/>
    </row>
    <row r="376" ht="21.75" customHeight="1">
      <c r="A376" s="38" t="s">
        <v>974</v>
      </c>
      <c r="B376" s="38" t="s">
        <v>975</v>
      </c>
      <c r="C376" s="27" t="s">
        <v>972</v>
      </c>
      <c r="D376" s="68"/>
      <c r="E376" s="4">
        <v>64.0</v>
      </c>
      <c r="F376" s="5" t="s">
        <v>15</v>
      </c>
      <c r="G376" s="25">
        <v>3060.0</v>
      </c>
      <c r="H376" s="32" t="s">
        <v>254</v>
      </c>
      <c r="I376" s="25">
        <v>5800.0</v>
      </c>
      <c r="J376" s="9">
        <f t="shared" si="19"/>
        <v>2805</v>
      </c>
      <c r="K376" s="9"/>
      <c r="L376" s="26"/>
      <c r="M376" s="26"/>
      <c r="N376" s="26"/>
    </row>
    <row r="377" ht="21.75" customHeight="1">
      <c r="A377" s="22" t="s">
        <v>976</v>
      </c>
      <c r="B377" s="27" t="s">
        <v>977</v>
      </c>
      <c r="C377" s="27" t="s">
        <v>978</v>
      </c>
      <c r="D377" s="68"/>
      <c r="E377" s="4">
        <v>40.0</v>
      </c>
      <c r="F377" s="5" t="s">
        <v>15</v>
      </c>
      <c r="G377" s="25">
        <v>2950.0</v>
      </c>
      <c r="H377" s="32" t="s">
        <v>254</v>
      </c>
      <c r="I377" s="25">
        <v>5800.0</v>
      </c>
      <c r="J377" s="9">
        <f t="shared" si="19"/>
        <v>2704.166667</v>
      </c>
      <c r="K377" s="9"/>
      <c r="L377" s="26"/>
      <c r="M377" s="26"/>
      <c r="N377" s="26"/>
    </row>
    <row r="378" ht="21.75" customHeight="1">
      <c r="A378" s="38" t="s">
        <v>979</v>
      </c>
      <c r="B378" s="38" t="s">
        <v>980</v>
      </c>
      <c r="C378" s="27" t="s">
        <v>981</v>
      </c>
      <c r="D378" s="68" t="s">
        <v>982</v>
      </c>
      <c r="E378" s="4">
        <v>31.0</v>
      </c>
      <c r="F378" s="5" t="s">
        <v>15</v>
      </c>
      <c r="G378" s="25">
        <v>2160.0</v>
      </c>
      <c r="H378" s="32" t="s">
        <v>254</v>
      </c>
      <c r="I378" s="25">
        <v>3680.0</v>
      </c>
      <c r="J378" s="9">
        <f t="shared" si="19"/>
        <v>1980</v>
      </c>
      <c r="K378" s="9"/>
      <c r="L378" s="26"/>
      <c r="M378" s="26"/>
      <c r="N378" s="26"/>
    </row>
    <row r="379" ht="21.75" customHeight="1">
      <c r="A379" s="38" t="s">
        <v>983</v>
      </c>
      <c r="B379" s="38" t="s">
        <v>984</v>
      </c>
      <c r="C379" s="27" t="s">
        <v>985</v>
      </c>
      <c r="D379" s="68" t="s">
        <v>986</v>
      </c>
      <c r="E379" s="4">
        <v>220.0</v>
      </c>
      <c r="F379" s="5" t="s">
        <v>15</v>
      </c>
      <c r="G379" s="25">
        <v>2710.0</v>
      </c>
      <c r="H379" s="32" t="s">
        <v>254</v>
      </c>
      <c r="I379" s="25">
        <v>4800.0</v>
      </c>
      <c r="J379" s="9">
        <f t="shared" si="19"/>
        <v>2484.166667</v>
      </c>
      <c r="K379" s="9"/>
      <c r="L379" s="26"/>
      <c r="M379" s="26"/>
      <c r="N379" s="26"/>
    </row>
    <row r="380" ht="21.75" hidden="1" customHeight="1">
      <c r="A380" s="38"/>
      <c r="B380" s="38"/>
      <c r="C380" s="27"/>
      <c r="D380" s="32"/>
      <c r="E380" s="4"/>
      <c r="F380" s="5"/>
      <c r="G380" s="6"/>
      <c r="H380" s="71"/>
      <c r="I380" s="8"/>
      <c r="J380" s="9"/>
      <c r="K380" s="9"/>
      <c r="L380" s="26"/>
      <c r="M380" s="26"/>
      <c r="N380" s="26"/>
    </row>
    <row r="381" ht="31.5" hidden="1" customHeight="1">
      <c r="A381" s="43" t="s">
        <v>965</v>
      </c>
      <c r="B381" s="13"/>
      <c r="C381" s="11"/>
      <c r="D381" s="12"/>
      <c r="E381" s="20"/>
      <c r="F381" s="21"/>
      <c r="G381" s="14"/>
      <c r="H381" s="11"/>
      <c r="I381" s="15"/>
      <c r="J381" s="15"/>
      <c r="K381" s="16"/>
      <c r="L381" s="26"/>
      <c r="M381" s="26"/>
      <c r="N381" s="26"/>
    </row>
    <row r="382" ht="21.75" customHeight="1">
      <c r="A382" s="11" t="s">
        <v>0</v>
      </c>
      <c r="B382" s="11" t="s">
        <v>1</v>
      </c>
      <c r="C382" s="11" t="s">
        <v>2</v>
      </c>
      <c r="D382" s="12" t="s">
        <v>3</v>
      </c>
      <c r="E382" s="11" t="s">
        <v>4</v>
      </c>
      <c r="F382" s="13"/>
      <c r="G382" s="14" t="s">
        <v>5</v>
      </c>
      <c r="H382" s="11" t="s">
        <v>6</v>
      </c>
      <c r="I382" s="15" t="s">
        <v>7</v>
      </c>
      <c r="J382" s="15" t="s">
        <v>8</v>
      </c>
      <c r="K382" s="16" t="s">
        <v>9</v>
      </c>
      <c r="L382" s="17"/>
      <c r="M382" s="17"/>
      <c r="N382" s="17"/>
    </row>
    <row r="383" ht="21.75" hidden="1" customHeight="1">
      <c r="A383" s="22" t="s">
        <v>987</v>
      </c>
      <c r="B383" s="53" t="s">
        <v>988</v>
      </c>
      <c r="C383" s="27" t="s">
        <v>989</v>
      </c>
      <c r="D383" s="68" t="s">
        <v>990</v>
      </c>
      <c r="E383" s="4"/>
      <c r="F383" s="5"/>
      <c r="G383" s="25">
        <v>4500.0</v>
      </c>
      <c r="H383" s="32" t="s">
        <v>250</v>
      </c>
      <c r="I383" s="25">
        <v>7800.0</v>
      </c>
      <c r="J383" s="25"/>
      <c r="K383" s="9"/>
      <c r="L383" s="26"/>
      <c r="M383" s="26"/>
      <c r="N383" s="26"/>
    </row>
    <row r="384" ht="21.75" hidden="1" customHeight="1">
      <c r="A384" s="2"/>
      <c r="B384" s="2"/>
      <c r="C384" s="2"/>
      <c r="D384" s="32"/>
      <c r="E384" s="4"/>
      <c r="F384" s="5"/>
      <c r="G384" s="6"/>
      <c r="H384" s="71"/>
      <c r="I384" s="8"/>
      <c r="J384" s="9"/>
      <c r="K384" s="9"/>
      <c r="L384" s="26"/>
      <c r="M384" s="26"/>
      <c r="N384" s="26"/>
    </row>
    <row r="385" ht="31.5" hidden="1" customHeight="1">
      <c r="A385" s="43" t="s">
        <v>991</v>
      </c>
      <c r="B385" s="13"/>
      <c r="C385" s="11"/>
      <c r="D385" s="12"/>
      <c r="E385" s="20"/>
      <c r="F385" s="21"/>
      <c r="G385" s="14"/>
      <c r="H385" s="11"/>
      <c r="I385" s="15"/>
      <c r="J385" s="15"/>
      <c r="K385" s="16"/>
      <c r="L385" s="26"/>
      <c r="M385" s="26"/>
      <c r="N385" s="26"/>
    </row>
    <row r="386" ht="21.75" customHeight="1">
      <c r="A386" s="11" t="s">
        <v>0</v>
      </c>
      <c r="B386" s="11" t="s">
        <v>1</v>
      </c>
      <c r="C386" s="11" t="s">
        <v>2</v>
      </c>
      <c r="D386" s="12" t="s">
        <v>3</v>
      </c>
      <c r="E386" s="11" t="s">
        <v>4</v>
      </c>
      <c r="F386" s="13"/>
      <c r="G386" s="14" t="s">
        <v>5</v>
      </c>
      <c r="H386" s="11" t="s">
        <v>6</v>
      </c>
      <c r="I386" s="15" t="s">
        <v>7</v>
      </c>
      <c r="J386" s="15" t="s">
        <v>8</v>
      </c>
      <c r="K386" s="16" t="s">
        <v>9</v>
      </c>
      <c r="L386" s="17"/>
      <c r="M386" s="17"/>
      <c r="N386" s="17"/>
    </row>
    <row r="387" ht="21.75" customHeight="1">
      <c r="A387" s="38" t="s">
        <v>992</v>
      </c>
      <c r="B387" s="38" t="s">
        <v>993</v>
      </c>
      <c r="C387" s="27" t="s">
        <v>994</v>
      </c>
      <c r="D387" s="68" t="s">
        <v>376</v>
      </c>
      <c r="E387" s="4">
        <v>11.0</v>
      </c>
      <c r="F387" s="5" t="s">
        <v>15</v>
      </c>
      <c r="G387" s="91">
        <v>10700.0</v>
      </c>
      <c r="H387" s="51" t="s">
        <v>250</v>
      </c>
      <c r="I387" s="25"/>
      <c r="J387" s="9">
        <v>10700.0</v>
      </c>
      <c r="K387" s="9"/>
      <c r="L387" s="26"/>
      <c r="M387" s="26"/>
      <c r="N387" s="26"/>
    </row>
    <row r="388" ht="21.75" customHeight="1">
      <c r="A388" s="38" t="s">
        <v>995</v>
      </c>
      <c r="B388" s="38" t="s">
        <v>996</v>
      </c>
      <c r="C388" s="27" t="s">
        <v>994</v>
      </c>
      <c r="D388" s="68" t="s">
        <v>973</v>
      </c>
      <c r="E388" s="4">
        <v>12.0</v>
      </c>
      <c r="F388" s="5" t="s">
        <v>15</v>
      </c>
      <c r="G388" s="91">
        <v>17700.0</v>
      </c>
      <c r="H388" s="51" t="s">
        <v>250</v>
      </c>
      <c r="I388" s="25"/>
      <c r="J388" s="9">
        <v>17700.0</v>
      </c>
      <c r="K388" s="9"/>
      <c r="L388" s="26"/>
      <c r="M388" s="26"/>
      <c r="N388" s="26"/>
    </row>
    <row r="389" ht="21.75" customHeight="1">
      <c r="A389" s="38" t="s">
        <v>997</v>
      </c>
      <c r="B389" s="38" t="s">
        <v>998</v>
      </c>
      <c r="C389" s="27" t="s">
        <v>994</v>
      </c>
      <c r="D389" s="68" t="s">
        <v>999</v>
      </c>
      <c r="E389" s="4">
        <v>26.0</v>
      </c>
      <c r="F389" s="5" t="s">
        <v>15</v>
      </c>
      <c r="G389" s="91">
        <v>10800.0</v>
      </c>
      <c r="H389" s="51" t="s">
        <v>250</v>
      </c>
      <c r="I389" s="25"/>
      <c r="J389" s="9">
        <v>10800.0</v>
      </c>
      <c r="K389" s="9"/>
      <c r="L389" s="26"/>
      <c r="M389" s="26"/>
      <c r="N389" s="26"/>
    </row>
    <row r="390" ht="21.75" customHeight="1">
      <c r="A390" s="38" t="s">
        <v>1000</v>
      </c>
      <c r="B390" s="38" t="s">
        <v>1001</v>
      </c>
      <c r="C390" s="27" t="s">
        <v>994</v>
      </c>
      <c r="D390" s="32"/>
      <c r="E390" s="4">
        <v>17.0</v>
      </c>
      <c r="F390" s="5" t="s">
        <v>15</v>
      </c>
      <c r="G390" s="91">
        <v>8500.0</v>
      </c>
      <c r="H390" s="51" t="s">
        <v>250</v>
      </c>
      <c r="I390" s="25"/>
      <c r="J390" s="9">
        <v>8500.0</v>
      </c>
      <c r="K390" s="9"/>
      <c r="L390" s="26"/>
      <c r="M390" s="26"/>
      <c r="N390" s="26"/>
    </row>
    <row r="391" ht="21.75" customHeight="1">
      <c r="A391" s="38" t="s">
        <v>1002</v>
      </c>
      <c r="B391" s="38" t="s">
        <v>1003</v>
      </c>
      <c r="C391" s="27" t="s">
        <v>994</v>
      </c>
      <c r="D391" s="32"/>
      <c r="E391" s="4">
        <v>30.0</v>
      </c>
      <c r="F391" s="5" t="s">
        <v>15</v>
      </c>
      <c r="G391" s="91">
        <v>9200.0</v>
      </c>
      <c r="H391" s="51" t="s">
        <v>250</v>
      </c>
      <c r="I391" s="25"/>
      <c r="J391" s="9">
        <v>9200.0</v>
      </c>
      <c r="K391" s="9"/>
      <c r="L391" s="26"/>
      <c r="M391" s="26"/>
      <c r="N391" s="26"/>
    </row>
    <row r="392" ht="21.75" customHeight="1">
      <c r="A392" s="38" t="s">
        <v>1004</v>
      </c>
      <c r="B392" s="38" t="s">
        <v>1005</v>
      </c>
      <c r="C392" s="27" t="s">
        <v>994</v>
      </c>
      <c r="D392" s="32"/>
      <c r="E392" s="4">
        <v>36.0</v>
      </c>
      <c r="F392" s="5" t="s">
        <v>15</v>
      </c>
      <c r="G392" s="25">
        <v>10600.0</v>
      </c>
      <c r="H392" s="51" t="s">
        <v>254</v>
      </c>
      <c r="I392" s="25">
        <v>19800.0</v>
      </c>
      <c r="J392" s="9">
        <f t="shared" ref="J392:J394" si="20">G392*11/12</f>
        <v>9716.666667</v>
      </c>
      <c r="K392" s="9"/>
      <c r="L392" s="26"/>
      <c r="M392" s="26"/>
      <c r="N392" s="26"/>
    </row>
    <row r="393" ht="21.75" customHeight="1">
      <c r="A393" s="38" t="s">
        <v>1006</v>
      </c>
      <c r="B393" s="38" t="s">
        <v>1007</v>
      </c>
      <c r="C393" s="27" t="s">
        <v>994</v>
      </c>
      <c r="D393" s="32"/>
      <c r="E393" s="4">
        <v>17.0</v>
      </c>
      <c r="F393" s="5" t="s">
        <v>15</v>
      </c>
      <c r="G393" s="25">
        <v>10600.0</v>
      </c>
      <c r="H393" s="51" t="s">
        <v>254</v>
      </c>
      <c r="I393" s="25">
        <v>19800.0</v>
      </c>
      <c r="J393" s="9">
        <f t="shared" si="20"/>
        <v>9716.666667</v>
      </c>
      <c r="K393" s="9"/>
      <c r="L393" s="26"/>
      <c r="M393" s="26"/>
      <c r="N393" s="26"/>
    </row>
    <row r="394" ht="21.75" customHeight="1">
      <c r="A394" s="38" t="s">
        <v>1008</v>
      </c>
      <c r="B394" s="38" t="s">
        <v>1009</v>
      </c>
      <c r="C394" s="27" t="s">
        <v>994</v>
      </c>
      <c r="D394" s="32"/>
      <c r="E394" s="4">
        <v>24.0</v>
      </c>
      <c r="F394" s="5" t="s">
        <v>15</v>
      </c>
      <c r="G394" s="25">
        <v>10600.0</v>
      </c>
      <c r="H394" s="51" t="s">
        <v>254</v>
      </c>
      <c r="I394" s="25">
        <v>19800.0</v>
      </c>
      <c r="J394" s="9">
        <f t="shared" si="20"/>
        <v>9716.666667</v>
      </c>
      <c r="K394" s="9"/>
      <c r="L394" s="26"/>
      <c r="M394" s="26"/>
      <c r="N394" s="26"/>
    </row>
    <row r="395" ht="21.75" hidden="1" customHeight="1">
      <c r="A395" s="38" t="s">
        <v>1010</v>
      </c>
      <c r="B395" s="38" t="s">
        <v>1011</v>
      </c>
      <c r="C395" s="27" t="s">
        <v>994</v>
      </c>
      <c r="D395" s="68" t="s">
        <v>1012</v>
      </c>
      <c r="E395" s="4">
        <v>30.0</v>
      </c>
      <c r="F395" s="5" t="s">
        <v>15</v>
      </c>
      <c r="G395" s="25"/>
      <c r="H395" s="51"/>
      <c r="I395" s="25"/>
      <c r="J395" s="9"/>
      <c r="K395" s="9"/>
      <c r="L395" s="26"/>
      <c r="M395" s="26"/>
      <c r="N395" s="26"/>
    </row>
    <row r="396" ht="21.75" hidden="1" customHeight="1">
      <c r="A396" s="38" t="s">
        <v>1013</v>
      </c>
      <c r="B396" s="38" t="s">
        <v>1014</v>
      </c>
      <c r="C396" s="27" t="s">
        <v>994</v>
      </c>
      <c r="D396" s="68" t="s">
        <v>1015</v>
      </c>
      <c r="E396" s="4">
        <v>24.0</v>
      </c>
      <c r="F396" s="5" t="s">
        <v>15</v>
      </c>
      <c r="G396" s="25"/>
      <c r="H396" s="51"/>
      <c r="I396" s="25"/>
      <c r="J396" s="9"/>
      <c r="K396" s="9"/>
      <c r="L396" s="26"/>
      <c r="M396" s="26"/>
      <c r="N396" s="26"/>
    </row>
    <row r="397" ht="21.75" hidden="1" customHeight="1">
      <c r="A397" s="38" t="s">
        <v>1016</v>
      </c>
      <c r="B397" s="38" t="s">
        <v>1017</v>
      </c>
      <c r="C397" s="27" t="s">
        <v>994</v>
      </c>
      <c r="D397" s="68" t="s">
        <v>1015</v>
      </c>
      <c r="E397" s="4">
        <v>24.0</v>
      </c>
      <c r="F397" s="5" t="s">
        <v>15</v>
      </c>
      <c r="G397" s="25"/>
      <c r="H397" s="51"/>
      <c r="I397" s="25"/>
      <c r="J397" s="9"/>
      <c r="K397" s="9"/>
      <c r="L397" s="26"/>
      <c r="M397" s="26"/>
      <c r="N397" s="26"/>
    </row>
    <row r="398" ht="21.75" hidden="1" customHeight="1">
      <c r="A398" s="38" t="s">
        <v>1018</v>
      </c>
      <c r="B398" s="38" t="s">
        <v>1019</v>
      </c>
      <c r="C398" s="27" t="s">
        <v>1020</v>
      </c>
      <c r="D398" s="68" t="s">
        <v>1021</v>
      </c>
      <c r="E398" s="4"/>
      <c r="F398" s="5"/>
      <c r="G398" s="25">
        <v>1160.0</v>
      </c>
      <c r="H398" s="51" t="s">
        <v>254</v>
      </c>
      <c r="I398" s="25">
        <v>2280.0</v>
      </c>
      <c r="J398" s="9">
        <f t="shared" ref="J398:J404" si="21">G398*11/12</f>
        <v>1063.333333</v>
      </c>
      <c r="K398" s="9"/>
      <c r="L398" s="26"/>
      <c r="M398" s="26"/>
      <c r="N398" s="26"/>
    </row>
    <row r="399" ht="21.75" hidden="1" customHeight="1">
      <c r="A399" s="38" t="s">
        <v>1022</v>
      </c>
      <c r="B399" s="38" t="s">
        <v>1023</v>
      </c>
      <c r="C399" s="27" t="s">
        <v>1024</v>
      </c>
      <c r="D399" s="68"/>
      <c r="E399" s="4"/>
      <c r="F399" s="5"/>
      <c r="G399" s="25">
        <v>1160.0</v>
      </c>
      <c r="H399" s="51" t="s">
        <v>254</v>
      </c>
      <c r="I399" s="25">
        <v>2280.0</v>
      </c>
      <c r="J399" s="9">
        <f t="shared" si="21"/>
        <v>1063.333333</v>
      </c>
      <c r="K399" s="9"/>
      <c r="L399" s="26"/>
      <c r="M399" s="26"/>
      <c r="N399" s="26"/>
    </row>
    <row r="400" ht="21.75" customHeight="1">
      <c r="A400" s="38" t="s">
        <v>1025</v>
      </c>
      <c r="B400" s="38" t="s">
        <v>1026</v>
      </c>
      <c r="C400" s="27" t="s">
        <v>1027</v>
      </c>
      <c r="D400" s="68"/>
      <c r="E400" s="4">
        <v>11.0</v>
      </c>
      <c r="F400" s="5" t="s">
        <v>15</v>
      </c>
      <c r="G400" s="25">
        <v>1650.0</v>
      </c>
      <c r="H400" s="51" t="s">
        <v>254</v>
      </c>
      <c r="I400" s="25">
        <v>2880.0</v>
      </c>
      <c r="J400" s="9">
        <f t="shared" si="21"/>
        <v>1512.5</v>
      </c>
      <c r="K400" s="9"/>
      <c r="L400" s="26"/>
      <c r="M400" s="26"/>
      <c r="N400" s="26"/>
    </row>
    <row r="401" ht="21.75" customHeight="1">
      <c r="A401" s="38" t="s">
        <v>1028</v>
      </c>
      <c r="B401" s="38" t="s">
        <v>1029</v>
      </c>
      <c r="C401" s="27" t="s">
        <v>1030</v>
      </c>
      <c r="D401" s="68" t="s">
        <v>413</v>
      </c>
      <c r="E401" s="4">
        <v>8.0</v>
      </c>
      <c r="F401" s="5" t="s">
        <v>15</v>
      </c>
      <c r="G401" s="25">
        <v>890.0</v>
      </c>
      <c r="H401" s="51" t="s">
        <v>254</v>
      </c>
      <c r="I401" s="25">
        <v>1580.0</v>
      </c>
      <c r="J401" s="9">
        <f t="shared" si="21"/>
        <v>815.8333333</v>
      </c>
      <c r="K401" s="9"/>
      <c r="L401" s="26"/>
      <c r="M401" s="26"/>
      <c r="N401" s="26"/>
    </row>
    <row r="402" ht="21.75" customHeight="1">
      <c r="A402" s="38" t="s">
        <v>1031</v>
      </c>
      <c r="B402" s="38" t="s">
        <v>1032</v>
      </c>
      <c r="C402" s="27" t="s">
        <v>1033</v>
      </c>
      <c r="D402" s="32"/>
      <c r="E402" s="4">
        <v>5.0</v>
      </c>
      <c r="F402" s="5" t="s">
        <v>15</v>
      </c>
      <c r="G402" s="25">
        <v>1350.0</v>
      </c>
      <c r="H402" s="51" t="s">
        <v>254</v>
      </c>
      <c r="I402" s="25">
        <v>2280.0</v>
      </c>
      <c r="J402" s="9">
        <f t="shared" si="21"/>
        <v>1237.5</v>
      </c>
      <c r="K402" s="9"/>
      <c r="L402" s="26"/>
      <c r="M402" s="26"/>
      <c r="N402" s="26"/>
    </row>
    <row r="403" ht="21.75" customHeight="1">
      <c r="A403" s="38" t="s">
        <v>1034</v>
      </c>
      <c r="B403" s="38" t="s">
        <v>1035</v>
      </c>
      <c r="C403" s="27" t="s">
        <v>1036</v>
      </c>
      <c r="D403" s="32"/>
      <c r="E403" s="4">
        <v>14.0</v>
      </c>
      <c r="F403" s="5" t="s">
        <v>15</v>
      </c>
      <c r="G403" s="25">
        <v>930.0</v>
      </c>
      <c r="H403" s="51" t="s">
        <v>254</v>
      </c>
      <c r="I403" s="25">
        <v>1580.0</v>
      </c>
      <c r="J403" s="9">
        <f t="shared" si="21"/>
        <v>852.5</v>
      </c>
      <c r="K403" s="9"/>
      <c r="L403" s="26"/>
      <c r="M403" s="26"/>
      <c r="N403" s="26"/>
    </row>
    <row r="404" ht="21.75" customHeight="1">
      <c r="A404" s="38" t="s">
        <v>1037</v>
      </c>
      <c r="B404" s="38" t="s">
        <v>1038</v>
      </c>
      <c r="C404" s="27" t="s">
        <v>1039</v>
      </c>
      <c r="D404" s="32"/>
      <c r="E404" s="4">
        <v>32.0</v>
      </c>
      <c r="F404" s="5" t="s">
        <v>15</v>
      </c>
      <c r="G404" s="25">
        <v>1170.0</v>
      </c>
      <c r="H404" s="51" t="s">
        <v>254</v>
      </c>
      <c r="I404" s="25">
        <v>1980.0</v>
      </c>
      <c r="J404" s="9">
        <f t="shared" si="21"/>
        <v>1072.5</v>
      </c>
      <c r="K404" s="9"/>
      <c r="L404" s="26"/>
      <c r="M404" s="26"/>
      <c r="N404" s="26"/>
    </row>
    <row r="405" ht="21.75" customHeight="1">
      <c r="A405" s="38" t="s">
        <v>1040</v>
      </c>
      <c r="B405" s="38" t="s">
        <v>1041</v>
      </c>
      <c r="C405" s="27" t="s">
        <v>1042</v>
      </c>
      <c r="D405" s="68" t="s">
        <v>363</v>
      </c>
      <c r="E405" s="4">
        <v>8.0</v>
      </c>
      <c r="F405" s="5" t="s">
        <v>15</v>
      </c>
      <c r="G405" s="25">
        <v>5200.0</v>
      </c>
      <c r="H405" s="51" t="s">
        <v>250</v>
      </c>
      <c r="I405" s="25">
        <v>12680.0</v>
      </c>
      <c r="J405" s="9">
        <v>5200.0</v>
      </c>
      <c r="K405" s="9"/>
      <c r="L405" s="26"/>
      <c r="M405" s="26"/>
      <c r="N405" s="26"/>
    </row>
    <row r="406" ht="21.75" customHeight="1">
      <c r="A406" s="38" t="s">
        <v>1043</v>
      </c>
      <c r="B406" s="38" t="s">
        <v>1044</v>
      </c>
      <c r="C406" s="27" t="s">
        <v>1042</v>
      </c>
      <c r="D406" s="68" t="s">
        <v>1045</v>
      </c>
      <c r="E406" s="4">
        <v>22.0</v>
      </c>
      <c r="F406" s="5" t="s">
        <v>15</v>
      </c>
      <c r="G406" s="25">
        <v>7100.0</v>
      </c>
      <c r="H406" s="51" t="s">
        <v>254</v>
      </c>
      <c r="I406" s="25">
        <v>12680.0</v>
      </c>
      <c r="J406" s="9">
        <f t="shared" ref="J406:J409" si="22">G406*11/12</f>
        <v>6508.333333</v>
      </c>
      <c r="K406" s="9"/>
      <c r="L406" s="26"/>
      <c r="M406" s="26"/>
      <c r="N406" s="26"/>
    </row>
    <row r="407" ht="21.75" customHeight="1">
      <c r="A407" s="38" t="s">
        <v>1046</v>
      </c>
      <c r="B407" s="38" t="s">
        <v>1047</v>
      </c>
      <c r="C407" s="27" t="s">
        <v>1042</v>
      </c>
      <c r="D407" s="68"/>
      <c r="E407" s="4">
        <v>42.0</v>
      </c>
      <c r="F407" s="5" t="s">
        <v>15</v>
      </c>
      <c r="G407" s="25">
        <v>7580.0</v>
      </c>
      <c r="H407" s="51" t="s">
        <v>254</v>
      </c>
      <c r="I407" s="25">
        <v>12680.0</v>
      </c>
      <c r="J407" s="9">
        <f t="shared" si="22"/>
        <v>6948.333333</v>
      </c>
      <c r="K407" s="9"/>
      <c r="L407" s="26"/>
      <c r="M407" s="26"/>
      <c r="N407" s="26"/>
    </row>
    <row r="408" ht="21.75" customHeight="1">
      <c r="A408" s="38" t="s">
        <v>1048</v>
      </c>
      <c r="B408" s="38" t="s">
        <v>1049</v>
      </c>
      <c r="C408" s="27" t="s">
        <v>1042</v>
      </c>
      <c r="D408" s="68"/>
      <c r="E408" s="4">
        <v>16.0</v>
      </c>
      <c r="F408" s="5" t="s">
        <v>15</v>
      </c>
      <c r="G408" s="25">
        <v>7580.0</v>
      </c>
      <c r="H408" s="51" t="s">
        <v>254</v>
      </c>
      <c r="I408" s="25">
        <v>12680.0</v>
      </c>
      <c r="J408" s="9">
        <f t="shared" si="22"/>
        <v>6948.333333</v>
      </c>
      <c r="K408" s="9"/>
      <c r="L408" s="26"/>
      <c r="M408" s="26"/>
      <c r="N408" s="26"/>
    </row>
    <row r="409" ht="21.75" customHeight="1">
      <c r="A409" s="38" t="s">
        <v>1050</v>
      </c>
      <c r="B409" s="38" t="s">
        <v>1051</v>
      </c>
      <c r="C409" s="27" t="s">
        <v>1042</v>
      </c>
      <c r="D409" s="68"/>
      <c r="E409" s="4">
        <v>18.0</v>
      </c>
      <c r="F409" s="5" t="s">
        <v>15</v>
      </c>
      <c r="G409" s="25">
        <v>7580.0</v>
      </c>
      <c r="H409" s="51" t="s">
        <v>254</v>
      </c>
      <c r="I409" s="25">
        <v>12680.0</v>
      </c>
      <c r="J409" s="9">
        <f t="shared" si="22"/>
        <v>6948.333333</v>
      </c>
      <c r="K409" s="9"/>
      <c r="L409" s="26"/>
      <c r="M409" s="26"/>
      <c r="N409" s="26"/>
    </row>
    <row r="410" ht="21.75" hidden="1" customHeight="1">
      <c r="A410" s="38" t="s">
        <v>1052</v>
      </c>
      <c r="B410" s="38" t="s">
        <v>1053</v>
      </c>
      <c r="C410" s="27" t="s">
        <v>1042</v>
      </c>
      <c r="D410" s="68" t="s">
        <v>1054</v>
      </c>
      <c r="E410" s="4">
        <v>30.0</v>
      </c>
      <c r="F410" s="5" t="s">
        <v>15</v>
      </c>
      <c r="G410" s="25"/>
      <c r="H410" s="51"/>
      <c r="I410" s="25"/>
      <c r="J410" s="9"/>
      <c r="K410" s="9"/>
      <c r="L410" s="26"/>
      <c r="M410" s="26"/>
      <c r="N410" s="26"/>
    </row>
    <row r="411" ht="21.75" hidden="1" customHeight="1">
      <c r="A411" s="38" t="s">
        <v>1055</v>
      </c>
      <c r="B411" s="38" t="s">
        <v>1056</v>
      </c>
      <c r="C411" s="27" t="s">
        <v>1042</v>
      </c>
      <c r="D411" s="68" t="s">
        <v>1057</v>
      </c>
      <c r="E411" s="4">
        <v>24.0</v>
      </c>
      <c r="F411" s="5" t="s">
        <v>15</v>
      </c>
      <c r="G411" s="25"/>
      <c r="H411" s="51"/>
      <c r="I411" s="25"/>
      <c r="J411" s="9"/>
      <c r="K411" s="9"/>
      <c r="L411" s="26"/>
      <c r="M411" s="26"/>
      <c r="N411" s="26"/>
    </row>
    <row r="412" ht="21.75" hidden="1" customHeight="1">
      <c r="A412" s="38" t="s">
        <v>1058</v>
      </c>
      <c r="B412" s="38" t="s">
        <v>1059</v>
      </c>
      <c r="C412" s="27" t="s">
        <v>1042</v>
      </c>
      <c r="D412" s="68" t="s">
        <v>1060</v>
      </c>
      <c r="E412" s="4">
        <v>24.0</v>
      </c>
      <c r="F412" s="5" t="s">
        <v>15</v>
      </c>
      <c r="G412" s="25"/>
      <c r="H412" s="51"/>
      <c r="I412" s="25"/>
      <c r="J412" s="9"/>
      <c r="K412" s="9"/>
      <c r="L412" s="26"/>
      <c r="M412" s="26"/>
      <c r="N412" s="26"/>
    </row>
    <row r="413" ht="21.75" customHeight="1">
      <c r="A413" s="38" t="s">
        <v>1061</v>
      </c>
      <c r="B413" s="38" t="s">
        <v>1062</v>
      </c>
      <c r="C413" s="27" t="s">
        <v>1063</v>
      </c>
      <c r="D413" s="68"/>
      <c r="E413" s="4">
        <v>39.0</v>
      </c>
      <c r="F413" s="5" t="s">
        <v>15</v>
      </c>
      <c r="G413" s="25">
        <v>5110.0</v>
      </c>
      <c r="H413" s="51" t="s">
        <v>254</v>
      </c>
      <c r="I413" s="25">
        <v>8680.0</v>
      </c>
      <c r="J413" s="9">
        <f t="shared" ref="J413:J415" si="23">G413*11/12</f>
        <v>4684.166667</v>
      </c>
      <c r="K413" s="9"/>
      <c r="L413" s="26"/>
      <c r="M413" s="26"/>
      <c r="N413" s="26"/>
    </row>
    <row r="414" ht="21.75" customHeight="1">
      <c r="A414" s="38" t="s">
        <v>1064</v>
      </c>
      <c r="B414" s="38" t="s">
        <v>1065</v>
      </c>
      <c r="C414" s="27" t="s">
        <v>1063</v>
      </c>
      <c r="D414" s="68"/>
      <c r="E414" s="4">
        <v>19.0</v>
      </c>
      <c r="F414" s="5" t="s">
        <v>15</v>
      </c>
      <c r="G414" s="25">
        <v>5110.0</v>
      </c>
      <c r="H414" s="51" t="s">
        <v>254</v>
      </c>
      <c r="I414" s="25">
        <v>8680.0</v>
      </c>
      <c r="J414" s="9">
        <f t="shared" si="23"/>
        <v>4684.166667</v>
      </c>
      <c r="K414" s="9"/>
      <c r="L414" s="26"/>
      <c r="M414" s="26"/>
      <c r="N414" s="26"/>
    </row>
    <row r="415" ht="21.75" customHeight="1">
      <c r="A415" s="38" t="s">
        <v>1066</v>
      </c>
      <c r="B415" s="38" t="s">
        <v>1067</v>
      </c>
      <c r="C415" s="27" t="s">
        <v>1063</v>
      </c>
      <c r="D415" s="68"/>
      <c r="E415" s="4">
        <v>18.0</v>
      </c>
      <c r="F415" s="5" t="s">
        <v>15</v>
      </c>
      <c r="G415" s="25">
        <v>5110.0</v>
      </c>
      <c r="H415" s="51" t="s">
        <v>254</v>
      </c>
      <c r="I415" s="25">
        <v>8680.0</v>
      </c>
      <c r="J415" s="9">
        <f t="shared" si="23"/>
        <v>4684.166667</v>
      </c>
      <c r="K415" s="9"/>
      <c r="L415" s="26"/>
      <c r="M415" s="26"/>
      <c r="N415" s="26"/>
    </row>
    <row r="416" ht="21.75" hidden="1" customHeight="1">
      <c r="A416" s="38" t="s">
        <v>1068</v>
      </c>
      <c r="B416" s="38" t="s">
        <v>1069</v>
      </c>
      <c r="C416" s="27" t="s">
        <v>1063</v>
      </c>
      <c r="D416" s="68" t="s">
        <v>1070</v>
      </c>
      <c r="E416" s="4">
        <v>30.0</v>
      </c>
      <c r="F416" s="5" t="s">
        <v>15</v>
      </c>
      <c r="G416" s="25"/>
      <c r="H416" s="51"/>
      <c r="I416" s="25"/>
      <c r="J416" s="9"/>
      <c r="K416" s="9"/>
      <c r="L416" s="26"/>
      <c r="M416" s="26"/>
      <c r="N416" s="26"/>
    </row>
    <row r="417" ht="21.75" hidden="1" customHeight="1">
      <c r="A417" s="38" t="s">
        <v>1071</v>
      </c>
      <c r="B417" s="38" t="s">
        <v>1072</v>
      </c>
      <c r="C417" s="27" t="s">
        <v>1063</v>
      </c>
      <c r="D417" s="68" t="s">
        <v>1073</v>
      </c>
      <c r="E417" s="4">
        <v>24.0</v>
      </c>
      <c r="F417" s="5" t="s">
        <v>15</v>
      </c>
      <c r="G417" s="25"/>
      <c r="H417" s="51"/>
      <c r="I417" s="25"/>
      <c r="J417" s="9"/>
      <c r="K417" s="9"/>
      <c r="L417" s="26"/>
      <c r="M417" s="26"/>
      <c r="N417" s="26"/>
    </row>
    <row r="418" ht="21.75" hidden="1" customHeight="1">
      <c r="A418" s="38" t="s">
        <v>1074</v>
      </c>
      <c r="B418" s="38" t="s">
        <v>1075</v>
      </c>
      <c r="C418" s="27" t="s">
        <v>1063</v>
      </c>
      <c r="D418" s="68" t="s">
        <v>1076</v>
      </c>
      <c r="E418" s="4">
        <v>24.0</v>
      </c>
      <c r="F418" s="5" t="s">
        <v>15</v>
      </c>
      <c r="G418" s="25"/>
      <c r="H418" s="51"/>
      <c r="I418" s="25"/>
      <c r="J418" s="9"/>
      <c r="K418" s="9"/>
      <c r="L418" s="26"/>
      <c r="M418" s="26"/>
      <c r="N418" s="26"/>
    </row>
    <row r="419" ht="21.75" customHeight="1">
      <c r="A419" s="38" t="s">
        <v>1077</v>
      </c>
      <c r="B419" s="38" t="s">
        <v>1078</v>
      </c>
      <c r="C419" s="27" t="s">
        <v>1079</v>
      </c>
      <c r="D419" s="68"/>
      <c r="E419" s="4">
        <v>17.0</v>
      </c>
      <c r="F419" s="5" t="s">
        <v>15</v>
      </c>
      <c r="G419" s="25">
        <v>2620.0</v>
      </c>
      <c r="H419" s="51" t="s">
        <v>254</v>
      </c>
      <c r="I419" s="25">
        <v>4680.0</v>
      </c>
      <c r="J419" s="9">
        <f t="shared" ref="J419:J421" si="24">G419*11/12</f>
        <v>2401.666667</v>
      </c>
      <c r="K419" s="9"/>
      <c r="L419" s="2"/>
      <c r="M419" s="2"/>
      <c r="N419" s="2"/>
    </row>
    <row r="420" ht="21.75" customHeight="1">
      <c r="A420" s="38" t="s">
        <v>1080</v>
      </c>
      <c r="B420" s="38" t="s">
        <v>1081</v>
      </c>
      <c r="C420" s="27" t="s">
        <v>1079</v>
      </c>
      <c r="D420" s="68"/>
      <c r="E420" s="4">
        <v>21.0</v>
      </c>
      <c r="F420" s="5" t="s">
        <v>15</v>
      </c>
      <c r="G420" s="25">
        <v>1930.0</v>
      </c>
      <c r="H420" s="51" t="s">
        <v>254</v>
      </c>
      <c r="I420" s="25">
        <v>3280.0</v>
      </c>
      <c r="J420" s="9">
        <f t="shared" si="24"/>
        <v>1769.166667</v>
      </c>
      <c r="K420" s="9"/>
      <c r="L420" s="2"/>
      <c r="M420" s="2"/>
      <c r="N420" s="2"/>
    </row>
    <row r="421" ht="21.75" customHeight="1">
      <c r="A421" s="38" t="s">
        <v>1082</v>
      </c>
      <c r="B421" s="38" t="s">
        <v>1083</v>
      </c>
      <c r="C421" s="27" t="s">
        <v>1079</v>
      </c>
      <c r="D421" s="68"/>
      <c r="E421" s="4">
        <v>59.0</v>
      </c>
      <c r="F421" s="5" t="s">
        <v>15</v>
      </c>
      <c r="G421" s="25">
        <v>1930.0</v>
      </c>
      <c r="H421" s="51" t="s">
        <v>254</v>
      </c>
      <c r="I421" s="25">
        <v>3280.0</v>
      </c>
      <c r="J421" s="9">
        <f t="shared" si="24"/>
        <v>1769.166667</v>
      </c>
      <c r="K421" s="9"/>
      <c r="L421" s="2"/>
      <c r="M421" s="2"/>
      <c r="N421" s="2"/>
    </row>
    <row r="422" ht="21.75" hidden="1" customHeight="1">
      <c r="A422" s="38" t="s">
        <v>1084</v>
      </c>
      <c r="B422" s="38" t="s">
        <v>1085</v>
      </c>
      <c r="C422" s="27" t="s">
        <v>1079</v>
      </c>
      <c r="D422" s="68" t="s">
        <v>1086</v>
      </c>
      <c r="E422" s="4">
        <v>60.0</v>
      </c>
      <c r="F422" s="5" t="s">
        <v>15</v>
      </c>
      <c r="G422" s="25"/>
      <c r="H422" s="51"/>
      <c r="I422" s="25"/>
      <c r="J422" s="9"/>
      <c r="K422" s="9"/>
      <c r="L422" s="2"/>
      <c r="M422" s="2"/>
      <c r="N422" s="2"/>
    </row>
    <row r="423" ht="21.75" hidden="1" customHeight="1">
      <c r="A423" s="38" t="s">
        <v>1087</v>
      </c>
      <c r="B423" s="38" t="s">
        <v>1088</v>
      </c>
      <c r="C423" s="27" t="s">
        <v>1079</v>
      </c>
      <c r="D423" s="68" t="s">
        <v>1070</v>
      </c>
      <c r="E423" s="4">
        <v>60.0</v>
      </c>
      <c r="F423" s="5" t="s">
        <v>15</v>
      </c>
      <c r="G423" s="25"/>
      <c r="H423" s="51"/>
      <c r="I423" s="25"/>
      <c r="J423" s="9"/>
      <c r="K423" s="9"/>
      <c r="L423" s="2"/>
      <c r="M423" s="2"/>
      <c r="N423" s="2"/>
    </row>
    <row r="424" ht="21.75" hidden="1" customHeight="1">
      <c r="A424" s="38" t="s">
        <v>1089</v>
      </c>
      <c r="B424" s="38" t="s">
        <v>1090</v>
      </c>
      <c r="C424" s="27" t="s">
        <v>1079</v>
      </c>
      <c r="D424" s="68" t="s">
        <v>1070</v>
      </c>
      <c r="E424" s="4">
        <v>90.0</v>
      </c>
      <c r="F424" s="5" t="s">
        <v>15</v>
      </c>
      <c r="G424" s="25"/>
      <c r="H424" s="51"/>
      <c r="I424" s="25"/>
      <c r="J424" s="9"/>
      <c r="K424" s="9"/>
      <c r="L424" s="2"/>
      <c r="M424" s="2"/>
      <c r="N424" s="2"/>
    </row>
    <row r="425" ht="21.75" hidden="1" customHeight="1">
      <c r="A425" s="38" t="s">
        <v>1091</v>
      </c>
      <c r="B425" s="38" t="s">
        <v>1092</v>
      </c>
      <c r="C425" s="27" t="s">
        <v>1093</v>
      </c>
      <c r="D425" s="68" t="s">
        <v>1094</v>
      </c>
      <c r="E425" s="4">
        <v>141.0</v>
      </c>
      <c r="F425" s="5" t="s">
        <v>15</v>
      </c>
      <c r="G425" s="25"/>
      <c r="H425" s="51"/>
      <c r="I425" s="25"/>
      <c r="J425" s="9"/>
      <c r="K425" s="9"/>
      <c r="L425" s="2"/>
      <c r="M425" s="2"/>
      <c r="N425" s="2"/>
    </row>
    <row r="426" ht="21.75" hidden="1" customHeight="1">
      <c r="A426" s="38" t="s">
        <v>1095</v>
      </c>
      <c r="B426" s="38" t="s">
        <v>1096</v>
      </c>
      <c r="C426" s="27" t="s">
        <v>1097</v>
      </c>
      <c r="D426" s="68" t="s">
        <v>982</v>
      </c>
      <c r="E426" s="4"/>
      <c r="F426" s="5"/>
      <c r="G426" s="25">
        <v>580.0</v>
      </c>
      <c r="H426" s="51" t="s">
        <v>254</v>
      </c>
      <c r="I426" s="25">
        <v>1280.0</v>
      </c>
      <c r="J426" s="9">
        <f>G426*11/12</f>
        <v>531.6666667</v>
      </c>
      <c r="K426" s="9"/>
      <c r="L426" s="26"/>
      <c r="M426" s="26"/>
      <c r="N426" s="26"/>
    </row>
    <row r="427" ht="21.75" hidden="1" customHeight="1">
      <c r="A427" s="38" t="s">
        <v>1098</v>
      </c>
      <c r="B427" s="38" t="s">
        <v>1099</v>
      </c>
      <c r="C427" s="27" t="s">
        <v>1100</v>
      </c>
      <c r="D427" s="68" t="s">
        <v>1101</v>
      </c>
      <c r="E427" s="4">
        <v>11.0</v>
      </c>
      <c r="F427" s="5" t="s">
        <v>15</v>
      </c>
      <c r="G427" s="25"/>
      <c r="H427" s="51"/>
      <c r="I427" s="25"/>
      <c r="J427" s="9"/>
      <c r="K427" s="9"/>
      <c r="L427" s="26"/>
      <c r="M427" s="26"/>
      <c r="N427" s="26"/>
    </row>
    <row r="428" ht="21.75" hidden="1" customHeight="1">
      <c r="A428" s="38" t="s">
        <v>1102</v>
      </c>
      <c r="B428" s="38" t="s">
        <v>1103</v>
      </c>
      <c r="C428" s="27" t="s">
        <v>1104</v>
      </c>
      <c r="D428" s="68" t="s">
        <v>1105</v>
      </c>
      <c r="E428" s="4">
        <v>12.0</v>
      </c>
      <c r="F428" s="5" t="s">
        <v>15</v>
      </c>
      <c r="G428" s="25"/>
      <c r="H428" s="51"/>
      <c r="I428" s="25"/>
      <c r="J428" s="9"/>
      <c r="K428" s="9"/>
      <c r="L428" s="26"/>
      <c r="M428" s="26"/>
      <c r="N428" s="26"/>
    </row>
    <row r="429" ht="21.75" hidden="1" customHeight="1">
      <c r="A429" s="38" t="s">
        <v>1106</v>
      </c>
      <c r="B429" s="38" t="s">
        <v>1107</v>
      </c>
      <c r="C429" s="27" t="s">
        <v>1108</v>
      </c>
      <c r="D429" s="68" t="s">
        <v>1076</v>
      </c>
      <c r="E429" s="4">
        <v>12.0</v>
      </c>
      <c r="F429" s="5" t="s">
        <v>15</v>
      </c>
      <c r="G429" s="25"/>
      <c r="H429" s="51"/>
      <c r="I429" s="25"/>
      <c r="J429" s="9"/>
      <c r="K429" s="9"/>
      <c r="L429" s="26"/>
      <c r="M429" s="26"/>
      <c r="N429" s="26"/>
    </row>
    <row r="430" ht="21.75" customHeight="1">
      <c r="A430" s="38" t="s">
        <v>1109</v>
      </c>
      <c r="B430" s="38" t="s">
        <v>1110</v>
      </c>
      <c r="C430" s="27" t="s">
        <v>1111</v>
      </c>
      <c r="D430" s="68"/>
      <c r="E430" s="4">
        <v>17.0</v>
      </c>
      <c r="F430" s="5" t="s">
        <v>15</v>
      </c>
      <c r="G430" s="25">
        <v>2760.0</v>
      </c>
      <c r="H430" s="51" t="s">
        <v>254</v>
      </c>
      <c r="I430" s="25">
        <v>4680.0</v>
      </c>
      <c r="J430" s="9">
        <f t="shared" ref="J430:J431" si="25">G430*11/12</f>
        <v>2530</v>
      </c>
      <c r="K430" s="9"/>
      <c r="L430" s="26"/>
      <c r="M430" s="26"/>
      <c r="N430" s="26"/>
    </row>
    <row r="431" ht="21.75" customHeight="1">
      <c r="A431" s="38" t="s">
        <v>1112</v>
      </c>
      <c r="B431" s="38" t="s">
        <v>1113</v>
      </c>
      <c r="C431" s="27" t="s">
        <v>1114</v>
      </c>
      <c r="D431" s="68"/>
      <c r="E431" s="4">
        <v>12.0</v>
      </c>
      <c r="F431" s="5" t="s">
        <v>15</v>
      </c>
      <c r="G431" s="25">
        <v>2760.0</v>
      </c>
      <c r="H431" s="51" t="s">
        <v>254</v>
      </c>
      <c r="I431" s="25">
        <v>4680.0</v>
      </c>
      <c r="J431" s="9">
        <f t="shared" si="25"/>
        <v>2530</v>
      </c>
      <c r="K431" s="9"/>
      <c r="L431" s="26"/>
      <c r="M431" s="26"/>
      <c r="N431" s="26"/>
    </row>
    <row r="432" ht="21.75" hidden="1" customHeight="1">
      <c r="A432" s="38" t="s">
        <v>1115</v>
      </c>
      <c r="B432" s="38" t="s">
        <v>1116</v>
      </c>
      <c r="C432" s="27" t="s">
        <v>1117</v>
      </c>
      <c r="D432" s="68" t="s">
        <v>1070</v>
      </c>
      <c r="E432" s="4">
        <v>12.0</v>
      </c>
      <c r="F432" s="5" t="s">
        <v>15</v>
      </c>
      <c r="G432" s="25"/>
      <c r="H432" s="51"/>
      <c r="I432" s="25"/>
      <c r="J432" s="9"/>
      <c r="K432" s="9"/>
      <c r="L432" s="26"/>
      <c r="M432" s="26"/>
      <c r="N432" s="26"/>
    </row>
    <row r="433" ht="21.75" hidden="1" customHeight="1">
      <c r="A433" s="38" t="s">
        <v>1118</v>
      </c>
      <c r="B433" s="38" t="s">
        <v>1119</v>
      </c>
      <c r="C433" s="27" t="s">
        <v>1120</v>
      </c>
      <c r="D433" s="68" t="s">
        <v>1121</v>
      </c>
      <c r="E433" s="4">
        <v>24.0</v>
      </c>
      <c r="F433" s="5" t="s">
        <v>15</v>
      </c>
      <c r="G433" s="25"/>
      <c r="H433" s="51"/>
      <c r="I433" s="25"/>
      <c r="J433" s="9"/>
      <c r="K433" s="9"/>
      <c r="L433" s="26"/>
      <c r="M433" s="26"/>
      <c r="N433" s="26"/>
    </row>
    <row r="434" ht="21.75" hidden="1" customHeight="1">
      <c r="A434" s="38" t="s">
        <v>1122</v>
      </c>
      <c r="B434" s="38" t="s">
        <v>1123</v>
      </c>
      <c r="C434" s="27" t="s">
        <v>1124</v>
      </c>
      <c r="D434" s="68" t="s">
        <v>1121</v>
      </c>
      <c r="E434" s="4">
        <v>24.0</v>
      </c>
      <c r="F434" s="5" t="s">
        <v>15</v>
      </c>
      <c r="G434" s="25"/>
      <c r="H434" s="51"/>
      <c r="I434" s="25"/>
      <c r="J434" s="9"/>
      <c r="K434" s="9"/>
      <c r="L434" s="26"/>
      <c r="M434" s="26"/>
      <c r="N434" s="26"/>
    </row>
    <row r="435" ht="21.75" hidden="1" customHeight="1">
      <c r="A435" s="38" t="s">
        <v>1125</v>
      </c>
      <c r="B435" s="38" t="s">
        <v>1126</v>
      </c>
      <c r="C435" s="27" t="s">
        <v>1127</v>
      </c>
      <c r="D435" s="68" t="s">
        <v>1128</v>
      </c>
      <c r="E435" s="4">
        <v>24.0</v>
      </c>
      <c r="F435" s="5" t="s">
        <v>15</v>
      </c>
      <c r="G435" s="25"/>
      <c r="H435" s="51"/>
      <c r="I435" s="25"/>
      <c r="J435" s="9"/>
      <c r="K435" s="9"/>
      <c r="L435" s="26"/>
      <c r="M435" s="26"/>
      <c r="N435" s="26"/>
    </row>
    <row r="436" ht="21.75" customHeight="1">
      <c r="A436" s="38" t="s">
        <v>1129</v>
      </c>
      <c r="B436" s="38" t="s">
        <v>1130</v>
      </c>
      <c r="C436" s="27" t="s">
        <v>1131</v>
      </c>
      <c r="D436" s="68" t="s">
        <v>1132</v>
      </c>
      <c r="E436" s="4">
        <v>42.0</v>
      </c>
      <c r="F436" s="5" t="s">
        <v>15</v>
      </c>
      <c r="G436" s="25">
        <v>1110.0</v>
      </c>
      <c r="H436" s="51" t="s">
        <v>254</v>
      </c>
      <c r="I436" s="25">
        <v>1980.0</v>
      </c>
      <c r="J436" s="9">
        <f>G436*11/12</f>
        <v>1017.5</v>
      </c>
      <c r="K436" s="9"/>
      <c r="L436" s="26"/>
      <c r="M436" s="26"/>
      <c r="N436" s="26"/>
    </row>
    <row r="437" ht="21.75" hidden="1" customHeight="1">
      <c r="A437" s="38" t="s">
        <v>1133</v>
      </c>
      <c r="B437" s="38" t="s">
        <v>1134</v>
      </c>
      <c r="C437" s="27" t="s">
        <v>1135</v>
      </c>
      <c r="D437" s="68" t="s">
        <v>1136</v>
      </c>
      <c r="E437" s="4">
        <v>108.0</v>
      </c>
      <c r="F437" s="5" t="s">
        <v>15</v>
      </c>
      <c r="G437" s="25"/>
      <c r="H437" s="51"/>
      <c r="I437" s="25"/>
      <c r="J437" s="9"/>
      <c r="K437" s="9"/>
      <c r="L437" s="26"/>
      <c r="M437" s="26"/>
      <c r="N437" s="26"/>
    </row>
    <row r="438" ht="21.75" customHeight="1">
      <c r="A438" s="38" t="s">
        <v>1137</v>
      </c>
      <c r="B438" s="38" t="s">
        <v>1138</v>
      </c>
      <c r="C438" s="27" t="s">
        <v>1139</v>
      </c>
      <c r="D438" s="32"/>
      <c r="E438" s="4">
        <v>66.0</v>
      </c>
      <c r="F438" s="5" t="s">
        <v>15</v>
      </c>
      <c r="G438" s="25">
        <v>930.0</v>
      </c>
      <c r="H438" s="51" t="s">
        <v>254</v>
      </c>
      <c r="I438" s="25">
        <v>1580.0</v>
      </c>
      <c r="J438" s="9">
        <f t="shared" ref="J438:J439" si="26">G438*11/12</f>
        <v>852.5</v>
      </c>
      <c r="K438" s="9"/>
      <c r="L438" s="26"/>
      <c r="M438" s="26"/>
      <c r="N438" s="26"/>
    </row>
    <row r="439" ht="21.75" customHeight="1">
      <c r="A439" s="38" t="s">
        <v>1140</v>
      </c>
      <c r="B439" s="38" t="s">
        <v>1141</v>
      </c>
      <c r="C439" s="27" t="s">
        <v>1142</v>
      </c>
      <c r="D439" s="32"/>
      <c r="E439" s="4">
        <v>28.0</v>
      </c>
      <c r="F439" s="5" t="s">
        <v>15</v>
      </c>
      <c r="G439" s="25">
        <v>1400.0</v>
      </c>
      <c r="H439" s="51" t="s">
        <v>254</v>
      </c>
      <c r="I439" s="25">
        <v>2380.0</v>
      </c>
      <c r="J439" s="25">
        <f t="shared" si="26"/>
        <v>1283.333333</v>
      </c>
      <c r="K439" s="9"/>
      <c r="L439" s="26"/>
      <c r="M439" s="26"/>
      <c r="N439" s="26"/>
    </row>
    <row r="440" ht="21.75" hidden="1" customHeight="1">
      <c r="A440" s="38"/>
      <c r="B440" s="38"/>
      <c r="C440" s="27"/>
      <c r="D440" s="32"/>
      <c r="E440" s="4"/>
      <c r="F440" s="5"/>
      <c r="G440" s="25"/>
      <c r="H440" s="32"/>
      <c r="I440" s="25"/>
      <c r="J440" s="9"/>
      <c r="K440" s="9"/>
      <c r="L440" s="26"/>
      <c r="M440" s="26"/>
      <c r="N440" s="26"/>
    </row>
    <row r="441" ht="31.5" hidden="1" customHeight="1">
      <c r="A441" s="96" t="s">
        <v>1143</v>
      </c>
      <c r="B441" s="13"/>
      <c r="C441" s="11"/>
      <c r="D441" s="12"/>
      <c r="E441" s="20"/>
      <c r="F441" s="21"/>
      <c r="G441" s="14"/>
      <c r="H441" s="11"/>
      <c r="I441" s="15"/>
      <c r="J441" s="15"/>
      <c r="K441" s="16"/>
      <c r="L441" s="26"/>
      <c r="M441" s="26"/>
      <c r="N441" s="26"/>
    </row>
    <row r="442" ht="21.75" customHeight="1">
      <c r="A442" s="11" t="s">
        <v>0</v>
      </c>
      <c r="B442" s="11" t="s">
        <v>1</v>
      </c>
      <c r="C442" s="11" t="s">
        <v>2</v>
      </c>
      <c r="D442" s="12" t="s">
        <v>3</v>
      </c>
      <c r="E442" s="11" t="s">
        <v>4</v>
      </c>
      <c r="F442" s="13"/>
      <c r="G442" s="14" t="s">
        <v>5</v>
      </c>
      <c r="H442" s="11" t="s">
        <v>6</v>
      </c>
      <c r="I442" s="15" t="s">
        <v>7</v>
      </c>
      <c r="J442" s="15" t="s">
        <v>8</v>
      </c>
      <c r="K442" s="16" t="s">
        <v>9</v>
      </c>
      <c r="L442" s="17"/>
      <c r="M442" s="17"/>
      <c r="N442" s="17"/>
    </row>
    <row r="443" ht="21.75" hidden="1" customHeight="1">
      <c r="A443" s="27" t="s">
        <v>1144</v>
      </c>
      <c r="B443" s="38" t="s">
        <v>1145</v>
      </c>
      <c r="C443" s="27" t="s">
        <v>1146</v>
      </c>
      <c r="D443" s="32"/>
      <c r="E443" s="4"/>
      <c r="F443" s="5"/>
      <c r="G443" s="25"/>
      <c r="H443" s="32"/>
      <c r="I443" s="25"/>
      <c r="J443" s="9"/>
      <c r="K443" s="9"/>
      <c r="L443" s="26"/>
      <c r="M443" s="26"/>
      <c r="N443" s="26"/>
    </row>
    <row r="444" ht="21.75" hidden="1" customHeight="1">
      <c r="A444" s="27" t="s">
        <v>1147</v>
      </c>
      <c r="B444" s="27" t="s">
        <v>1148</v>
      </c>
      <c r="C444" s="27" t="s">
        <v>1149</v>
      </c>
      <c r="D444" s="32"/>
      <c r="E444" s="4"/>
      <c r="F444" s="5"/>
      <c r="G444" s="25"/>
      <c r="H444" s="32"/>
      <c r="I444" s="25"/>
      <c r="J444" s="9"/>
      <c r="K444" s="9"/>
      <c r="L444" s="26"/>
      <c r="M444" s="26"/>
      <c r="N444" s="26"/>
    </row>
    <row r="445" ht="21.75" hidden="1" customHeight="1">
      <c r="A445" s="38"/>
      <c r="B445" s="38"/>
      <c r="C445" s="27"/>
      <c r="D445" s="32"/>
      <c r="E445" s="4"/>
      <c r="F445" s="5"/>
      <c r="G445" s="25"/>
      <c r="H445" s="32"/>
      <c r="I445" s="25"/>
      <c r="J445" s="9"/>
      <c r="K445" s="9"/>
      <c r="L445" s="26"/>
      <c r="M445" s="26"/>
      <c r="N445" s="26"/>
    </row>
    <row r="446" ht="31.5" hidden="1" customHeight="1">
      <c r="A446" s="43" t="s">
        <v>1150</v>
      </c>
      <c r="B446" s="13"/>
      <c r="C446" s="93"/>
      <c r="D446" s="11"/>
      <c r="E446" s="20"/>
      <c r="F446" s="21"/>
      <c r="G446" s="45"/>
      <c r="H446" s="97"/>
      <c r="I446" s="94"/>
      <c r="J446" s="95"/>
      <c r="K446" s="95"/>
      <c r="L446" s="26"/>
      <c r="M446" s="26"/>
      <c r="N446" s="26"/>
    </row>
    <row r="447" ht="21.75" customHeight="1">
      <c r="A447" s="11" t="s">
        <v>0</v>
      </c>
      <c r="B447" s="11" t="s">
        <v>1</v>
      </c>
      <c r="C447" s="11" t="s">
        <v>2</v>
      </c>
      <c r="D447" s="12" t="s">
        <v>3</v>
      </c>
      <c r="E447" s="11" t="s">
        <v>4</v>
      </c>
      <c r="F447" s="13"/>
      <c r="G447" s="14" t="s">
        <v>5</v>
      </c>
      <c r="H447" s="11" t="s">
        <v>6</v>
      </c>
      <c r="I447" s="15" t="s">
        <v>7</v>
      </c>
      <c r="J447" s="15" t="s">
        <v>8</v>
      </c>
      <c r="K447" s="16" t="s">
        <v>9</v>
      </c>
      <c r="L447" s="17"/>
      <c r="M447" s="17"/>
      <c r="N447" s="17"/>
    </row>
    <row r="448" ht="21.75" customHeight="1">
      <c r="A448" s="27" t="s">
        <v>1151</v>
      </c>
      <c r="B448" s="22" t="s">
        <v>1152</v>
      </c>
      <c r="C448" s="27" t="s">
        <v>1153</v>
      </c>
      <c r="D448" s="32"/>
      <c r="E448" s="4">
        <v>3.0</v>
      </c>
      <c r="F448" s="5" t="s">
        <v>15</v>
      </c>
      <c r="G448" s="25">
        <v>3550.0</v>
      </c>
      <c r="H448" s="32" t="s">
        <v>254</v>
      </c>
      <c r="I448" s="25">
        <v>7800.0</v>
      </c>
      <c r="J448" s="9">
        <f t="shared" ref="J448:J449" si="27">G448*11/12</f>
        <v>3254.166667</v>
      </c>
      <c r="K448" s="9"/>
      <c r="L448" s="26"/>
      <c r="M448" s="26"/>
      <c r="N448" s="26"/>
    </row>
    <row r="449" ht="21.75" customHeight="1">
      <c r="A449" s="27" t="s">
        <v>1154</v>
      </c>
      <c r="B449" s="22" t="s">
        <v>1155</v>
      </c>
      <c r="C449" s="27" t="s">
        <v>1156</v>
      </c>
      <c r="D449" s="68" t="s">
        <v>413</v>
      </c>
      <c r="E449" s="4">
        <v>21.0</v>
      </c>
      <c r="F449" s="5" t="s">
        <v>15</v>
      </c>
      <c r="G449" s="25">
        <v>3550.0</v>
      </c>
      <c r="H449" s="32" t="s">
        <v>254</v>
      </c>
      <c r="I449" s="25">
        <v>7800.0</v>
      </c>
      <c r="J449" s="9">
        <f t="shared" si="27"/>
        <v>3254.166667</v>
      </c>
      <c r="K449" s="9"/>
      <c r="L449" s="26"/>
      <c r="M449" s="26"/>
      <c r="N449" s="26"/>
    </row>
    <row r="450" ht="21.75" hidden="1" customHeight="1">
      <c r="A450" s="27" t="s">
        <v>1157</v>
      </c>
      <c r="B450" s="5" t="s">
        <v>1158</v>
      </c>
      <c r="C450" s="5" t="s">
        <v>1159</v>
      </c>
      <c r="D450" s="32"/>
      <c r="E450" s="4"/>
      <c r="F450" s="5"/>
      <c r="G450" s="25"/>
      <c r="H450" s="32"/>
      <c r="I450" s="25"/>
      <c r="J450" s="9"/>
      <c r="K450" s="9"/>
      <c r="L450" s="26"/>
      <c r="M450" s="26"/>
      <c r="N450" s="26"/>
    </row>
    <row r="451" ht="21.75" hidden="1" customHeight="1">
      <c r="A451" s="27"/>
      <c r="B451" s="55"/>
      <c r="C451" s="27"/>
      <c r="D451" s="32"/>
      <c r="E451" s="4"/>
      <c r="F451" s="5"/>
      <c r="G451" s="6"/>
      <c r="H451" s="71"/>
      <c r="I451" s="8"/>
      <c r="J451" s="9"/>
      <c r="K451" s="9"/>
      <c r="L451" s="26"/>
      <c r="M451" s="26"/>
      <c r="N451" s="26"/>
    </row>
    <row r="452" ht="31.5" hidden="1" customHeight="1">
      <c r="A452" s="43" t="s">
        <v>1160</v>
      </c>
      <c r="B452" s="13"/>
      <c r="C452" s="11"/>
      <c r="D452" s="12"/>
      <c r="E452" s="20"/>
      <c r="F452" s="21"/>
      <c r="G452" s="14"/>
      <c r="H452" s="11"/>
      <c r="I452" s="15"/>
      <c r="J452" s="15"/>
      <c r="K452" s="16"/>
      <c r="L452" s="26"/>
      <c r="M452" s="26"/>
      <c r="N452" s="26"/>
    </row>
    <row r="453" ht="21.75" customHeight="1">
      <c r="A453" s="11" t="s">
        <v>0</v>
      </c>
      <c r="B453" s="11" t="s">
        <v>1</v>
      </c>
      <c r="C453" s="11" t="s">
        <v>2</v>
      </c>
      <c r="D453" s="12" t="s">
        <v>3</v>
      </c>
      <c r="E453" s="11" t="s">
        <v>4</v>
      </c>
      <c r="F453" s="13"/>
      <c r="G453" s="14" t="s">
        <v>5</v>
      </c>
      <c r="H453" s="11" t="s">
        <v>6</v>
      </c>
      <c r="I453" s="15" t="s">
        <v>7</v>
      </c>
      <c r="J453" s="15" t="s">
        <v>8</v>
      </c>
      <c r="K453" s="16" t="s">
        <v>9</v>
      </c>
      <c r="L453" s="17"/>
      <c r="M453" s="17"/>
      <c r="N453" s="17"/>
    </row>
    <row r="454" ht="21.75" customHeight="1">
      <c r="A454" s="27" t="s">
        <v>1161</v>
      </c>
      <c r="B454" s="22" t="s">
        <v>1162</v>
      </c>
      <c r="C454" s="27" t="s">
        <v>1163</v>
      </c>
      <c r="D454" s="32"/>
      <c r="E454" s="4">
        <v>36.0</v>
      </c>
      <c r="F454" s="5" t="s">
        <v>15</v>
      </c>
      <c r="G454" s="9">
        <v>2100.0</v>
      </c>
      <c r="H454" s="58" t="s">
        <v>254</v>
      </c>
      <c r="I454" s="25">
        <v>3200.0</v>
      </c>
      <c r="J454" s="25">
        <v>1925.0</v>
      </c>
      <c r="K454" s="9"/>
      <c r="L454" s="26"/>
      <c r="M454" s="26"/>
      <c r="N454" s="26"/>
    </row>
    <row r="455" ht="21.75" customHeight="1">
      <c r="A455" s="27" t="s">
        <v>1164</v>
      </c>
      <c r="B455" s="22" t="s">
        <v>1165</v>
      </c>
      <c r="C455" s="27" t="s">
        <v>1163</v>
      </c>
      <c r="D455" s="32"/>
      <c r="E455" s="4">
        <v>51.0</v>
      </c>
      <c r="F455" s="5" t="s">
        <v>15</v>
      </c>
      <c r="G455" s="9">
        <v>2100.0</v>
      </c>
      <c r="H455" s="58" t="s">
        <v>254</v>
      </c>
      <c r="I455" s="25">
        <v>3200.0</v>
      </c>
      <c r="J455" s="25">
        <v>1925.0</v>
      </c>
      <c r="K455" s="9"/>
      <c r="L455" s="26"/>
      <c r="M455" s="26"/>
      <c r="N455" s="26"/>
    </row>
    <row r="456" ht="21.75" hidden="1" customHeight="1">
      <c r="A456" s="27" t="s">
        <v>1166</v>
      </c>
      <c r="B456" s="5" t="s">
        <v>1167</v>
      </c>
      <c r="C456" s="5" t="s">
        <v>1168</v>
      </c>
      <c r="D456" s="32"/>
      <c r="E456" s="4"/>
      <c r="F456" s="5"/>
      <c r="G456" s="9"/>
      <c r="H456" s="58"/>
      <c r="I456" s="25"/>
      <c r="J456" s="25"/>
      <c r="K456" s="9"/>
      <c r="L456" s="26"/>
      <c r="M456" s="26"/>
      <c r="N456" s="26"/>
    </row>
    <row r="457" ht="21.75" hidden="1" customHeight="1">
      <c r="A457" s="27" t="s">
        <v>1169</v>
      </c>
      <c r="B457" s="5" t="s">
        <v>1170</v>
      </c>
      <c r="C457" s="5" t="s">
        <v>1168</v>
      </c>
      <c r="D457" s="32"/>
      <c r="E457" s="4"/>
      <c r="F457" s="5"/>
      <c r="G457" s="9"/>
      <c r="H457" s="58"/>
      <c r="I457" s="25"/>
      <c r="J457" s="25"/>
      <c r="K457" s="9"/>
      <c r="L457" s="26"/>
      <c r="M457" s="26"/>
      <c r="N457" s="26"/>
    </row>
    <row r="458" ht="21.75" hidden="1" customHeight="1">
      <c r="A458" s="27" t="s">
        <v>1171</v>
      </c>
      <c r="B458" s="5" t="s">
        <v>1172</v>
      </c>
      <c r="C458" s="5" t="s">
        <v>1173</v>
      </c>
      <c r="D458" s="32"/>
      <c r="E458" s="4"/>
      <c r="F458" s="5"/>
      <c r="G458" s="9"/>
      <c r="H458" s="58"/>
      <c r="I458" s="25"/>
      <c r="J458" s="25"/>
      <c r="K458" s="9"/>
      <c r="L458" s="26"/>
      <c r="M458" s="26"/>
      <c r="N458" s="26"/>
    </row>
    <row r="459" ht="21.75" hidden="1" customHeight="1">
      <c r="A459" s="27"/>
      <c r="B459" s="55"/>
      <c r="C459" s="27"/>
      <c r="D459" s="32"/>
      <c r="E459" s="4"/>
      <c r="F459" s="5"/>
      <c r="G459" s="6"/>
      <c r="H459" s="37"/>
      <c r="I459" s="8"/>
      <c r="J459" s="9"/>
      <c r="K459" s="9"/>
      <c r="L459" s="26"/>
      <c r="M459" s="26"/>
      <c r="N459" s="26"/>
    </row>
    <row r="460" ht="31.5" hidden="1" customHeight="1">
      <c r="A460" s="43" t="s">
        <v>1174</v>
      </c>
      <c r="B460" s="13"/>
      <c r="C460" s="11"/>
      <c r="D460" s="12"/>
      <c r="E460" s="20"/>
      <c r="F460" s="21"/>
      <c r="G460" s="14"/>
      <c r="H460" s="11"/>
      <c r="I460" s="15"/>
      <c r="J460" s="15"/>
      <c r="K460" s="16"/>
      <c r="L460" s="26"/>
      <c r="M460" s="26"/>
      <c r="N460" s="26"/>
    </row>
    <row r="461" ht="21.75" customHeight="1">
      <c r="A461" s="11" t="s">
        <v>0</v>
      </c>
      <c r="B461" s="11" t="s">
        <v>1</v>
      </c>
      <c r="C461" s="11" t="s">
        <v>2</v>
      </c>
      <c r="D461" s="12" t="s">
        <v>3</v>
      </c>
      <c r="E461" s="11" t="s">
        <v>4</v>
      </c>
      <c r="F461" s="13"/>
      <c r="G461" s="14" t="s">
        <v>5</v>
      </c>
      <c r="H461" s="11" t="s">
        <v>6</v>
      </c>
      <c r="I461" s="15" t="s">
        <v>7</v>
      </c>
      <c r="J461" s="15" t="s">
        <v>8</v>
      </c>
      <c r="K461" s="16" t="s">
        <v>9</v>
      </c>
      <c r="L461" s="17"/>
      <c r="M461" s="17"/>
      <c r="N461" s="17"/>
    </row>
    <row r="462" ht="21.75" hidden="1" customHeight="1">
      <c r="A462" s="5" t="s">
        <v>1175</v>
      </c>
      <c r="B462" s="5" t="s">
        <v>1176</v>
      </c>
      <c r="C462" s="5" t="s">
        <v>1177</v>
      </c>
      <c r="D462" s="3"/>
      <c r="E462" s="4"/>
      <c r="F462" s="5"/>
      <c r="G462" s="6"/>
      <c r="H462" s="7"/>
      <c r="I462" s="8"/>
      <c r="J462" s="42"/>
      <c r="K462" s="9"/>
      <c r="L462" s="26"/>
      <c r="M462" s="26"/>
      <c r="N462" s="26"/>
    </row>
    <row r="463" ht="21.75" hidden="1" customHeight="1">
      <c r="A463" s="5" t="s">
        <v>1178</v>
      </c>
      <c r="B463" s="5" t="s">
        <v>1179</v>
      </c>
      <c r="C463" s="5" t="s">
        <v>1180</v>
      </c>
      <c r="D463" s="3"/>
      <c r="E463" s="4"/>
      <c r="F463" s="5"/>
      <c r="G463" s="6"/>
      <c r="H463" s="7"/>
      <c r="I463" s="8"/>
      <c r="J463" s="42"/>
      <c r="K463" s="9"/>
      <c r="L463" s="26"/>
      <c r="M463" s="26"/>
      <c r="N463" s="26"/>
    </row>
    <row r="464" ht="21.75" hidden="1" customHeight="1">
      <c r="A464" s="5" t="s">
        <v>1181</v>
      </c>
      <c r="B464" s="5" t="s">
        <v>1182</v>
      </c>
      <c r="C464" s="5" t="s">
        <v>1183</v>
      </c>
      <c r="D464" s="3"/>
      <c r="E464" s="4"/>
      <c r="F464" s="5"/>
      <c r="G464" s="6"/>
      <c r="H464" s="7"/>
      <c r="I464" s="8"/>
      <c r="J464" s="42"/>
      <c r="K464" s="9"/>
      <c r="L464" s="26"/>
      <c r="M464" s="26"/>
      <c r="N464" s="26"/>
    </row>
    <row r="465" ht="21.75" hidden="1" customHeight="1">
      <c r="A465" s="5" t="s">
        <v>1184</v>
      </c>
      <c r="B465" s="5" t="s">
        <v>1185</v>
      </c>
      <c r="C465" s="5" t="s">
        <v>1186</v>
      </c>
      <c r="D465" s="3"/>
      <c r="E465" s="4"/>
      <c r="F465" s="5"/>
      <c r="G465" s="6"/>
      <c r="H465" s="7"/>
      <c r="I465" s="8"/>
      <c r="J465" s="42"/>
      <c r="K465" s="9"/>
      <c r="L465" s="26"/>
      <c r="M465" s="26"/>
      <c r="N465" s="26"/>
    </row>
    <row r="466" ht="21.75" hidden="1" customHeight="1">
      <c r="A466" s="5" t="s">
        <v>1187</v>
      </c>
      <c r="B466" s="5" t="s">
        <v>1188</v>
      </c>
      <c r="C466" s="5"/>
      <c r="D466" s="3"/>
      <c r="E466" s="4"/>
      <c r="F466" s="5"/>
      <c r="G466" s="6"/>
      <c r="H466" s="7"/>
      <c r="I466" s="8"/>
      <c r="J466" s="42"/>
      <c r="K466" s="9"/>
      <c r="L466" s="26"/>
      <c r="M466" s="26"/>
      <c r="N466" s="26"/>
    </row>
    <row r="467" ht="21.75" hidden="1" customHeight="1">
      <c r="A467" s="5" t="s">
        <v>1189</v>
      </c>
      <c r="B467" s="5" t="s">
        <v>1190</v>
      </c>
      <c r="C467" s="5" t="s">
        <v>1191</v>
      </c>
      <c r="D467" s="3"/>
      <c r="E467" s="4"/>
      <c r="F467" s="5"/>
      <c r="G467" s="6"/>
      <c r="H467" s="7"/>
      <c r="I467" s="8"/>
      <c r="J467" s="42"/>
      <c r="K467" s="9"/>
      <c r="L467" s="26"/>
      <c r="M467" s="26"/>
      <c r="N467" s="26"/>
    </row>
    <row r="468" ht="21.75" hidden="1" customHeight="1">
      <c r="A468" s="27"/>
      <c r="B468" s="55"/>
      <c r="C468" s="27"/>
      <c r="D468" s="32"/>
      <c r="E468" s="4"/>
      <c r="F468" s="5"/>
      <c r="G468" s="6"/>
      <c r="H468" s="37"/>
      <c r="I468" s="8"/>
      <c r="J468" s="58"/>
      <c r="K468" s="9"/>
      <c r="L468" s="26"/>
      <c r="M468" s="26"/>
      <c r="N468" s="26"/>
    </row>
    <row r="469" ht="31.5" hidden="1" customHeight="1">
      <c r="A469" s="43" t="s">
        <v>1192</v>
      </c>
      <c r="B469" s="13"/>
      <c r="C469" s="11"/>
      <c r="D469" s="12"/>
      <c r="E469" s="20"/>
      <c r="F469" s="21"/>
      <c r="G469" s="14"/>
      <c r="H469" s="11"/>
      <c r="I469" s="15"/>
      <c r="J469" s="15"/>
      <c r="K469" s="16"/>
      <c r="L469" s="26"/>
      <c r="M469" s="26"/>
      <c r="N469" s="26"/>
    </row>
    <row r="470" ht="21.75" customHeight="1">
      <c r="A470" s="11" t="s">
        <v>0</v>
      </c>
      <c r="B470" s="11" t="s">
        <v>1</v>
      </c>
      <c r="C470" s="11" t="s">
        <v>2</v>
      </c>
      <c r="D470" s="12" t="s">
        <v>3</v>
      </c>
      <c r="E470" s="11" t="s">
        <v>4</v>
      </c>
      <c r="F470" s="13"/>
      <c r="G470" s="14" t="s">
        <v>5</v>
      </c>
      <c r="H470" s="11" t="s">
        <v>6</v>
      </c>
      <c r="I470" s="15" t="s">
        <v>7</v>
      </c>
      <c r="J470" s="15" t="s">
        <v>8</v>
      </c>
      <c r="K470" s="16" t="s">
        <v>9</v>
      </c>
      <c r="L470" s="17"/>
      <c r="M470" s="17"/>
      <c r="N470" s="17"/>
    </row>
    <row r="471" ht="21.75" hidden="1" customHeight="1">
      <c r="A471" s="22" t="s">
        <v>1193</v>
      </c>
      <c r="B471" s="22" t="s">
        <v>1194</v>
      </c>
      <c r="C471" s="27" t="s">
        <v>1195</v>
      </c>
      <c r="D471" s="32"/>
      <c r="E471" s="4"/>
      <c r="F471" s="5"/>
      <c r="G471" s="25">
        <v>2980.0</v>
      </c>
      <c r="H471" s="51" t="s">
        <v>250</v>
      </c>
      <c r="I471" s="25">
        <v>5200.0</v>
      </c>
      <c r="J471" s="58"/>
      <c r="K471" s="58" t="s">
        <v>250</v>
      </c>
      <c r="L471" s="26"/>
      <c r="M471" s="26"/>
      <c r="N471" s="26"/>
    </row>
    <row r="472" ht="21.75" customHeight="1">
      <c r="A472" s="22" t="s">
        <v>1196</v>
      </c>
      <c r="B472" s="53" t="s">
        <v>1197</v>
      </c>
      <c r="C472" s="27" t="s">
        <v>1198</v>
      </c>
      <c r="D472" s="68" t="s">
        <v>1199</v>
      </c>
      <c r="E472" s="4">
        <v>38.0</v>
      </c>
      <c r="F472" s="5" t="s">
        <v>15</v>
      </c>
      <c r="G472" s="25">
        <v>2587.0</v>
      </c>
      <c r="H472" s="51" t="s">
        <v>250</v>
      </c>
      <c r="I472" s="25">
        <v>5200.0</v>
      </c>
      <c r="J472" s="58"/>
      <c r="K472" s="9"/>
      <c r="L472" s="26"/>
      <c r="M472" s="26"/>
      <c r="N472" s="26"/>
    </row>
    <row r="473" ht="21.75" customHeight="1">
      <c r="A473" s="22" t="s">
        <v>1200</v>
      </c>
      <c r="B473" s="53" t="s">
        <v>1201</v>
      </c>
      <c r="C473" s="27" t="s">
        <v>1202</v>
      </c>
      <c r="D473" s="75" t="s">
        <v>1203</v>
      </c>
      <c r="E473" s="4">
        <v>2.0</v>
      </c>
      <c r="F473" s="5" t="s">
        <v>15</v>
      </c>
      <c r="G473" s="25">
        <v>2275.0</v>
      </c>
      <c r="H473" s="51" t="s">
        <v>250</v>
      </c>
      <c r="I473" s="25">
        <v>5200.0</v>
      </c>
      <c r="J473" s="58"/>
      <c r="K473" s="9"/>
      <c r="L473" s="26"/>
      <c r="M473" s="26"/>
      <c r="N473" s="26"/>
    </row>
    <row r="474" ht="21.75" customHeight="1">
      <c r="A474" s="22" t="s">
        <v>1204</v>
      </c>
      <c r="B474" s="53" t="s">
        <v>1205</v>
      </c>
      <c r="C474" s="27" t="s">
        <v>1206</v>
      </c>
      <c r="D474" s="68" t="s">
        <v>1207</v>
      </c>
      <c r="E474" s="4">
        <v>88.0</v>
      </c>
      <c r="F474" s="5" t="s">
        <v>15</v>
      </c>
      <c r="G474" s="25">
        <v>2700.0</v>
      </c>
      <c r="H474" s="51" t="s">
        <v>254</v>
      </c>
      <c r="I474" s="25">
        <v>5200.0</v>
      </c>
      <c r="J474" s="58">
        <f t="shared" ref="J474:J478" si="28">G474*11/12</f>
        <v>2475</v>
      </c>
      <c r="K474" s="9"/>
      <c r="L474" s="26"/>
      <c r="M474" s="26"/>
      <c r="N474" s="26"/>
    </row>
    <row r="475" ht="21.75" customHeight="1">
      <c r="A475" s="22" t="s">
        <v>1208</v>
      </c>
      <c r="B475" s="53" t="s">
        <v>1209</v>
      </c>
      <c r="C475" s="27" t="s">
        <v>1210</v>
      </c>
      <c r="D475" s="75" t="s">
        <v>1211</v>
      </c>
      <c r="E475" s="4">
        <v>13.0</v>
      </c>
      <c r="F475" s="5" t="s">
        <v>15</v>
      </c>
      <c r="G475" s="25">
        <v>3250.0</v>
      </c>
      <c r="H475" s="51" t="s">
        <v>254</v>
      </c>
      <c r="I475" s="25">
        <v>5200.0</v>
      </c>
      <c r="J475" s="58">
        <f t="shared" si="28"/>
        <v>2979.166667</v>
      </c>
      <c r="K475" s="9"/>
      <c r="L475" s="26"/>
      <c r="M475" s="26"/>
      <c r="N475" s="26"/>
    </row>
    <row r="476" ht="21.75" customHeight="1">
      <c r="A476" s="22" t="s">
        <v>1212</v>
      </c>
      <c r="B476" s="53" t="s">
        <v>1213</v>
      </c>
      <c r="C476" s="27" t="s">
        <v>1214</v>
      </c>
      <c r="D476" s="68" t="s">
        <v>1215</v>
      </c>
      <c r="E476" s="4">
        <v>76.0</v>
      </c>
      <c r="F476" s="5" t="s">
        <v>15</v>
      </c>
      <c r="G476" s="25">
        <v>3250.0</v>
      </c>
      <c r="H476" s="51" t="s">
        <v>254</v>
      </c>
      <c r="I476" s="25">
        <v>5200.0</v>
      </c>
      <c r="J476" s="58">
        <f t="shared" si="28"/>
        <v>2979.166667</v>
      </c>
      <c r="K476" s="9"/>
      <c r="L476" s="98"/>
      <c r="M476" s="98"/>
      <c r="N476" s="98"/>
    </row>
    <row r="477" ht="21.75" customHeight="1">
      <c r="A477" s="22" t="s">
        <v>1216</v>
      </c>
      <c r="B477" s="53" t="s">
        <v>1217</v>
      </c>
      <c r="C477" s="27" t="s">
        <v>1218</v>
      </c>
      <c r="D477" s="75" t="s">
        <v>1219</v>
      </c>
      <c r="E477" s="4">
        <v>113.0</v>
      </c>
      <c r="F477" s="5" t="s">
        <v>15</v>
      </c>
      <c r="G477" s="25">
        <v>3250.0</v>
      </c>
      <c r="H477" s="51" t="s">
        <v>254</v>
      </c>
      <c r="I477" s="25">
        <v>5200.0</v>
      </c>
      <c r="J477" s="58">
        <f t="shared" si="28"/>
        <v>2979.166667</v>
      </c>
      <c r="K477" s="9">
        <v>3600.0</v>
      </c>
      <c r="L477" s="26"/>
      <c r="M477" s="26"/>
      <c r="N477" s="26"/>
    </row>
    <row r="478" ht="12.75" customHeight="1">
      <c r="A478" s="22" t="s">
        <v>1220</v>
      </c>
      <c r="B478" s="53" t="s">
        <v>1221</v>
      </c>
      <c r="C478" s="27" t="s">
        <v>1222</v>
      </c>
      <c r="D478" s="68" t="s">
        <v>1223</v>
      </c>
      <c r="E478" s="4">
        <v>120.0</v>
      </c>
      <c r="F478" s="5" t="s">
        <v>15</v>
      </c>
      <c r="G478" s="25">
        <v>3300.0</v>
      </c>
      <c r="H478" s="51" t="s">
        <v>254</v>
      </c>
      <c r="I478" s="25">
        <v>5200.0</v>
      </c>
      <c r="J478" s="58">
        <f t="shared" si="28"/>
        <v>3025</v>
      </c>
      <c r="K478" s="9"/>
      <c r="L478" s="26"/>
      <c r="M478" s="26"/>
      <c r="N478" s="26"/>
    </row>
    <row r="479" ht="21.75" hidden="1" customHeight="1">
      <c r="A479" s="22" t="s">
        <v>1224</v>
      </c>
      <c r="B479" s="22" t="s">
        <v>1225</v>
      </c>
      <c r="C479" s="27" t="s">
        <v>1226</v>
      </c>
      <c r="D479" s="75"/>
      <c r="E479" s="4"/>
      <c r="F479" s="5"/>
      <c r="G479" s="25">
        <v>1430.0</v>
      </c>
      <c r="H479" s="51" t="s">
        <v>250</v>
      </c>
      <c r="I479" s="25"/>
      <c r="J479" s="58"/>
      <c r="K479" s="9"/>
      <c r="L479" s="26"/>
      <c r="M479" s="26"/>
      <c r="N479" s="26"/>
    </row>
    <row r="480" ht="21.75" hidden="1" customHeight="1">
      <c r="A480" s="22" t="s">
        <v>1227</v>
      </c>
      <c r="B480" s="22" t="s">
        <v>1228</v>
      </c>
      <c r="C480" s="27" t="s">
        <v>1226</v>
      </c>
      <c r="D480" s="75"/>
      <c r="E480" s="4"/>
      <c r="F480" s="5"/>
      <c r="G480" s="25">
        <v>1470.0</v>
      </c>
      <c r="H480" s="51" t="s">
        <v>250</v>
      </c>
      <c r="I480" s="25">
        <v>3680.0</v>
      </c>
      <c r="J480" s="58"/>
      <c r="K480" s="9"/>
      <c r="L480" s="26"/>
      <c r="M480" s="26"/>
      <c r="N480" s="26"/>
    </row>
    <row r="481" ht="12.75" customHeight="1">
      <c r="A481" s="22" t="s">
        <v>1229</v>
      </c>
      <c r="B481" s="22" t="s">
        <v>1230</v>
      </c>
      <c r="C481" s="27" t="s">
        <v>1226</v>
      </c>
      <c r="D481" s="68" t="s">
        <v>1231</v>
      </c>
      <c r="E481" s="4">
        <v>32.0</v>
      </c>
      <c r="F481" s="5" t="s">
        <v>15</v>
      </c>
      <c r="G481" s="25">
        <v>2150.0</v>
      </c>
      <c r="H481" s="51" t="s">
        <v>254</v>
      </c>
      <c r="I481" s="25">
        <v>3680.0</v>
      </c>
      <c r="J481" s="58">
        <f t="shared" ref="J481:J483" si="29">G481*11/12</f>
        <v>1970.833333</v>
      </c>
      <c r="K481" s="9"/>
      <c r="L481" s="26"/>
      <c r="M481" s="26"/>
      <c r="N481" s="26"/>
    </row>
    <row r="482" ht="21.75" customHeight="1">
      <c r="A482" s="22" t="s">
        <v>1232</v>
      </c>
      <c r="B482" s="22" t="s">
        <v>1233</v>
      </c>
      <c r="C482" s="27" t="s">
        <v>1226</v>
      </c>
      <c r="D482" s="75"/>
      <c r="E482" s="4">
        <v>83.0</v>
      </c>
      <c r="F482" s="5" t="s">
        <v>15</v>
      </c>
      <c r="G482" s="25">
        <v>2150.0</v>
      </c>
      <c r="H482" s="51" t="s">
        <v>254</v>
      </c>
      <c r="I482" s="25">
        <v>3680.0</v>
      </c>
      <c r="J482" s="58">
        <f t="shared" si="29"/>
        <v>1970.833333</v>
      </c>
      <c r="K482" s="9"/>
      <c r="L482" s="26"/>
      <c r="M482" s="26"/>
      <c r="N482" s="26"/>
    </row>
    <row r="483" ht="21.75" customHeight="1">
      <c r="A483" s="22" t="s">
        <v>1234</v>
      </c>
      <c r="B483" s="22" t="s">
        <v>1235</v>
      </c>
      <c r="C483" s="27" t="s">
        <v>1226</v>
      </c>
      <c r="D483" s="75" t="s">
        <v>1236</v>
      </c>
      <c r="E483" s="4">
        <v>112.0</v>
      </c>
      <c r="F483" s="5" t="s">
        <v>15</v>
      </c>
      <c r="G483" s="25">
        <v>2150.0</v>
      </c>
      <c r="H483" s="51" t="s">
        <v>254</v>
      </c>
      <c r="I483" s="25">
        <v>3680.0</v>
      </c>
      <c r="J483" s="58">
        <f t="shared" si="29"/>
        <v>1970.833333</v>
      </c>
      <c r="K483" s="9">
        <v>2500.0</v>
      </c>
      <c r="L483" s="26"/>
      <c r="M483" s="26"/>
      <c r="N483" s="26"/>
    </row>
    <row r="484" ht="21.75" customHeight="1">
      <c r="A484" s="22" t="s">
        <v>1237</v>
      </c>
      <c r="B484" s="22" t="s">
        <v>1238</v>
      </c>
      <c r="C484" s="27" t="s">
        <v>1226</v>
      </c>
      <c r="D484" s="75" t="s">
        <v>1239</v>
      </c>
      <c r="E484" s="4">
        <v>120.0</v>
      </c>
      <c r="F484" s="5" t="s">
        <v>15</v>
      </c>
      <c r="G484" s="25">
        <v>2200.0</v>
      </c>
      <c r="H484" s="51" t="s">
        <v>254</v>
      </c>
      <c r="I484" s="25"/>
      <c r="J484" s="58">
        <v>2017.0</v>
      </c>
      <c r="K484" s="9"/>
      <c r="L484" s="26"/>
      <c r="M484" s="26"/>
      <c r="N484" s="26"/>
    </row>
    <row r="485" ht="21.75" customHeight="1">
      <c r="A485" s="22" t="s">
        <v>1240</v>
      </c>
      <c r="B485" s="22" t="s">
        <v>1241</v>
      </c>
      <c r="C485" s="27" t="s">
        <v>1242</v>
      </c>
      <c r="D485" s="68" t="s">
        <v>413</v>
      </c>
      <c r="E485" s="4">
        <v>1.0</v>
      </c>
      <c r="F485" s="5" t="s">
        <v>15</v>
      </c>
      <c r="G485" s="25">
        <v>2795.0</v>
      </c>
      <c r="H485" s="51" t="s">
        <v>250</v>
      </c>
      <c r="I485" s="25">
        <v>7880.0</v>
      </c>
      <c r="J485" s="58"/>
      <c r="K485" s="58" t="s">
        <v>250</v>
      </c>
      <c r="L485" s="26"/>
      <c r="M485" s="26"/>
      <c r="N485" s="26"/>
    </row>
    <row r="486" ht="21.75" customHeight="1">
      <c r="A486" s="22" t="s">
        <v>1243</v>
      </c>
      <c r="B486" s="22" t="s">
        <v>1244</v>
      </c>
      <c r="C486" s="27" t="s">
        <v>1242</v>
      </c>
      <c r="D486" s="75" t="s">
        <v>1245</v>
      </c>
      <c r="E486" s="4">
        <v>1.0</v>
      </c>
      <c r="F486" s="5" t="s">
        <v>15</v>
      </c>
      <c r="G486" s="25">
        <v>2795.0</v>
      </c>
      <c r="H486" s="51" t="s">
        <v>250</v>
      </c>
      <c r="I486" s="25">
        <v>7880.0</v>
      </c>
      <c r="J486" s="58"/>
      <c r="K486" s="58" t="s">
        <v>250</v>
      </c>
      <c r="L486" s="26"/>
      <c r="M486" s="26"/>
      <c r="N486" s="26"/>
    </row>
    <row r="487" ht="21.75" customHeight="1">
      <c r="A487" s="99" t="s">
        <v>1246</v>
      </c>
      <c r="B487" s="22" t="s">
        <v>1247</v>
      </c>
      <c r="C487" s="27" t="s">
        <v>1242</v>
      </c>
      <c r="D487" s="75"/>
      <c r="E487" s="4">
        <v>1.0</v>
      </c>
      <c r="F487" s="5" t="s">
        <v>15</v>
      </c>
      <c r="G487" s="91">
        <v>4255.0</v>
      </c>
      <c r="H487" s="51" t="s">
        <v>250</v>
      </c>
      <c r="I487" s="25">
        <v>7880.0</v>
      </c>
      <c r="J487" s="58"/>
      <c r="K487" s="9"/>
      <c r="L487" s="26"/>
      <c r="M487" s="26"/>
      <c r="N487" s="26"/>
    </row>
    <row r="488" ht="21.75" customHeight="1">
      <c r="A488" s="22" t="s">
        <v>1248</v>
      </c>
      <c r="B488" s="22" t="s">
        <v>1249</v>
      </c>
      <c r="C488" s="27" t="s">
        <v>1242</v>
      </c>
      <c r="D488" s="75" t="s">
        <v>1250</v>
      </c>
      <c r="E488" s="4">
        <v>8.0</v>
      </c>
      <c r="F488" s="5" t="s">
        <v>15</v>
      </c>
      <c r="G488" s="25">
        <v>5250.0</v>
      </c>
      <c r="H488" s="51" t="s">
        <v>254</v>
      </c>
      <c r="I488" s="25">
        <v>7880.0</v>
      </c>
      <c r="J488" s="58">
        <f>G488*11/12</f>
        <v>4812.5</v>
      </c>
      <c r="K488" s="9">
        <v>5500.0</v>
      </c>
      <c r="L488" s="26"/>
      <c r="M488" s="26"/>
      <c r="N488" s="26"/>
    </row>
    <row r="489" ht="21.75" hidden="1" customHeight="1">
      <c r="A489" s="22" t="s">
        <v>1251</v>
      </c>
      <c r="B489" s="22" t="s">
        <v>1252</v>
      </c>
      <c r="C489" s="27" t="s">
        <v>1253</v>
      </c>
      <c r="D489" s="68" t="s">
        <v>1254</v>
      </c>
      <c r="E489" s="4">
        <v>2.0</v>
      </c>
      <c r="F489" s="5" t="s">
        <v>15</v>
      </c>
      <c r="G489" s="25"/>
      <c r="H489" s="51" t="s">
        <v>250</v>
      </c>
      <c r="I489" s="25">
        <v>13880.0</v>
      </c>
      <c r="J489" s="58"/>
      <c r="K489" s="42" t="s">
        <v>1255</v>
      </c>
      <c r="L489" s="26"/>
      <c r="M489" s="26"/>
      <c r="N489" s="26"/>
    </row>
    <row r="490" ht="21.75" hidden="1" customHeight="1">
      <c r="A490" s="22" t="s">
        <v>1256</v>
      </c>
      <c r="B490" s="22" t="s">
        <v>1257</v>
      </c>
      <c r="C490" s="27" t="s">
        <v>1253</v>
      </c>
      <c r="D490" s="32"/>
      <c r="E490" s="4">
        <v>3.0</v>
      </c>
      <c r="F490" s="5" t="s">
        <v>15</v>
      </c>
      <c r="G490" s="25"/>
      <c r="H490" s="51" t="s">
        <v>250</v>
      </c>
      <c r="I490" s="25">
        <v>13880.0</v>
      </c>
      <c r="J490" s="58"/>
      <c r="L490" s="26"/>
      <c r="M490" s="26"/>
      <c r="N490" s="26"/>
    </row>
    <row r="491" ht="21.75" hidden="1" customHeight="1">
      <c r="A491" s="22" t="s">
        <v>1258</v>
      </c>
      <c r="B491" s="22" t="s">
        <v>1259</v>
      </c>
      <c r="C491" s="27" t="s">
        <v>1253</v>
      </c>
      <c r="D491" s="32"/>
      <c r="E491" s="4">
        <v>5.0</v>
      </c>
      <c r="F491" s="5" t="s">
        <v>15</v>
      </c>
      <c r="G491" s="25"/>
      <c r="H491" s="51" t="s">
        <v>250</v>
      </c>
      <c r="I491" s="25">
        <v>13880.0</v>
      </c>
      <c r="J491" s="58"/>
      <c r="L491" s="26"/>
      <c r="M491" s="26"/>
      <c r="N491" s="26"/>
    </row>
    <row r="492" ht="21.75" hidden="1" customHeight="1">
      <c r="A492" s="22" t="s">
        <v>1260</v>
      </c>
      <c r="B492" s="22" t="s">
        <v>1261</v>
      </c>
      <c r="C492" s="27" t="s">
        <v>1262</v>
      </c>
      <c r="D492" s="32"/>
      <c r="E492" s="4">
        <v>6.0</v>
      </c>
      <c r="F492" s="5" t="s">
        <v>15</v>
      </c>
      <c r="G492" s="25"/>
      <c r="H492" s="51" t="s">
        <v>250</v>
      </c>
      <c r="I492" s="25">
        <v>13880.0</v>
      </c>
      <c r="J492" s="58"/>
      <c r="L492" s="26"/>
      <c r="M492" s="26"/>
      <c r="N492" s="26"/>
    </row>
    <row r="493" ht="21.75" hidden="1" customHeight="1">
      <c r="A493" s="22" t="s">
        <v>1263</v>
      </c>
      <c r="B493" s="22" t="s">
        <v>1264</v>
      </c>
      <c r="C493" s="27" t="s">
        <v>1265</v>
      </c>
      <c r="D493" s="68" t="s">
        <v>1207</v>
      </c>
      <c r="E493" s="4">
        <v>8.0</v>
      </c>
      <c r="F493" s="5" t="s">
        <v>15</v>
      </c>
      <c r="G493" s="25"/>
      <c r="H493" s="51" t="s">
        <v>250</v>
      </c>
      <c r="I493" s="25">
        <v>13880.0</v>
      </c>
      <c r="J493" s="58"/>
      <c r="L493" s="26"/>
      <c r="M493" s="26"/>
      <c r="N493" s="26"/>
    </row>
    <row r="494" ht="21.75" customHeight="1">
      <c r="A494" s="99" t="s">
        <v>1266</v>
      </c>
      <c r="B494" s="22" t="s">
        <v>1267</v>
      </c>
      <c r="C494" s="27" t="s">
        <v>1268</v>
      </c>
      <c r="D494" s="75"/>
      <c r="E494" s="4">
        <v>1.0</v>
      </c>
      <c r="F494" s="5" t="s">
        <v>15</v>
      </c>
      <c r="G494" s="91">
        <v>8800.0</v>
      </c>
      <c r="H494" s="51" t="s">
        <v>250</v>
      </c>
      <c r="I494" s="25">
        <v>13880.0</v>
      </c>
      <c r="J494" s="58"/>
      <c r="L494" s="26"/>
      <c r="M494" s="26"/>
      <c r="N494" s="26"/>
    </row>
    <row r="495" ht="21.75" customHeight="1">
      <c r="A495" s="22" t="s">
        <v>1269</v>
      </c>
      <c r="B495" s="22" t="s">
        <v>1270</v>
      </c>
      <c r="C495" s="27" t="s">
        <v>1271</v>
      </c>
      <c r="D495" s="68" t="s">
        <v>1272</v>
      </c>
      <c r="E495" s="4">
        <v>10.0</v>
      </c>
      <c r="F495" s="5" t="s">
        <v>15</v>
      </c>
      <c r="G495" s="25">
        <v>9280.0</v>
      </c>
      <c r="H495" s="51" t="s">
        <v>254</v>
      </c>
      <c r="I495" s="25">
        <v>13880.0</v>
      </c>
      <c r="J495" s="58">
        <f>G495*11/12</f>
        <v>8506.666667</v>
      </c>
      <c r="K495" s="50">
        <v>9700.0</v>
      </c>
      <c r="L495" s="26"/>
      <c r="M495" s="26"/>
      <c r="N495" s="26"/>
    </row>
    <row r="496" ht="21.75" customHeight="1">
      <c r="A496" s="27" t="s">
        <v>1273</v>
      </c>
      <c r="B496" s="22" t="s">
        <v>1274</v>
      </c>
      <c r="C496" s="27" t="s">
        <v>1275</v>
      </c>
      <c r="D496" s="75" t="s">
        <v>1276</v>
      </c>
      <c r="E496" s="4">
        <v>1.0</v>
      </c>
      <c r="F496" s="5" t="s">
        <v>15</v>
      </c>
      <c r="G496" s="25">
        <v>1730.0</v>
      </c>
      <c r="H496" s="51" t="s">
        <v>250</v>
      </c>
      <c r="I496" s="25">
        <v>4280.0</v>
      </c>
      <c r="J496" s="58"/>
      <c r="K496" s="9"/>
      <c r="L496" s="26"/>
      <c r="M496" s="26"/>
      <c r="N496" s="26"/>
    </row>
    <row r="497" ht="21.75" customHeight="1">
      <c r="A497" s="27" t="s">
        <v>1277</v>
      </c>
      <c r="B497" s="22" t="s">
        <v>1278</v>
      </c>
      <c r="C497" s="27" t="s">
        <v>1275</v>
      </c>
      <c r="D497" s="68" t="s">
        <v>1279</v>
      </c>
      <c r="E497" s="4">
        <v>1.0</v>
      </c>
      <c r="F497" s="5" t="s">
        <v>15</v>
      </c>
      <c r="G497" s="25">
        <v>1730.0</v>
      </c>
      <c r="H497" s="51" t="s">
        <v>250</v>
      </c>
      <c r="I497" s="25">
        <v>4280.0</v>
      </c>
      <c r="J497" s="58"/>
      <c r="K497" s="9"/>
      <c r="L497" s="26"/>
      <c r="M497" s="26"/>
      <c r="N497" s="26"/>
    </row>
    <row r="498" ht="31.5" hidden="1" customHeight="1">
      <c r="A498" s="27" t="s">
        <v>1280</v>
      </c>
      <c r="B498" s="22" t="s">
        <v>1281</v>
      </c>
      <c r="C498" s="27" t="s">
        <v>1282</v>
      </c>
      <c r="D498" s="75" t="s">
        <v>1283</v>
      </c>
      <c r="E498" s="4">
        <v>2.0</v>
      </c>
      <c r="F498" s="5" t="s">
        <v>15</v>
      </c>
      <c r="G498" s="25"/>
      <c r="H498" s="51" t="s">
        <v>1284</v>
      </c>
      <c r="I498" s="25"/>
      <c r="J498" s="58"/>
      <c r="K498" s="9"/>
      <c r="L498" s="26"/>
      <c r="M498" s="26"/>
      <c r="N498" s="26"/>
    </row>
    <row r="499" ht="21.75" hidden="1" customHeight="1">
      <c r="A499" s="27" t="s">
        <v>1285</v>
      </c>
      <c r="B499" s="22" t="s">
        <v>1286</v>
      </c>
      <c r="C499" s="27" t="s">
        <v>1287</v>
      </c>
      <c r="D499" s="68" t="s">
        <v>1288</v>
      </c>
      <c r="E499" s="4"/>
      <c r="F499" s="5"/>
      <c r="G499" s="25">
        <v>2800.0</v>
      </c>
      <c r="H499" s="51"/>
      <c r="I499" s="25"/>
      <c r="J499" s="58"/>
      <c r="K499" s="9"/>
      <c r="L499" s="26"/>
      <c r="M499" s="26"/>
      <c r="N499" s="26"/>
    </row>
    <row r="500" ht="21.75" hidden="1" customHeight="1">
      <c r="A500" s="27" t="s">
        <v>1289</v>
      </c>
      <c r="B500" s="22" t="s">
        <v>1290</v>
      </c>
      <c r="C500" s="27" t="s">
        <v>1291</v>
      </c>
      <c r="D500" s="75" t="s">
        <v>1292</v>
      </c>
      <c r="E500" s="4"/>
      <c r="F500" s="5"/>
      <c r="G500" s="25">
        <v>2600.0</v>
      </c>
      <c r="H500" s="51" t="s">
        <v>250</v>
      </c>
      <c r="I500" s="25">
        <v>4280.0</v>
      </c>
      <c r="J500" s="58"/>
      <c r="K500" s="9">
        <v>2900.0</v>
      </c>
      <c r="L500" s="26"/>
      <c r="M500" s="26"/>
      <c r="N500" s="26"/>
    </row>
    <row r="501" ht="21.75" hidden="1" customHeight="1">
      <c r="A501" s="27" t="s">
        <v>1293</v>
      </c>
      <c r="B501" s="22" t="s">
        <v>1294</v>
      </c>
      <c r="C501" s="27" t="s">
        <v>1295</v>
      </c>
      <c r="D501" s="75" t="s">
        <v>1296</v>
      </c>
      <c r="E501" s="4"/>
      <c r="F501" s="5"/>
      <c r="G501" s="25">
        <v>2600.0</v>
      </c>
      <c r="H501" s="51" t="s">
        <v>250</v>
      </c>
      <c r="I501" s="25">
        <v>4280.0</v>
      </c>
      <c r="J501" s="58"/>
      <c r="K501" s="9">
        <v>2900.0</v>
      </c>
      <c r="L501" s="26"/>
      <c r="M501" s="26"/>
      <c r="N501" s="26"/>
    </row>
    <row r="502" ht="21.75" customHeight="1">
      <c r="A502" s="27" t="s">
        <v>1297</v>
      </c>
      <c r="B502" s="22" t="s">
        <v>1298</v>
      </c>
      <c r="C502" s="27" t="s">
        <v>1299</v>
      </c>
      <c r="D502" s="68" t="s">
        <v>1300</v>
      </c>
      <c r="E502" s="4">
        <v>20.0</v>
      </c>
      <c r="F502" s="5" t="s">
        <v>15</v>
      </c>
      <c r="G502" s="25">
        <v>4300.0</v>
      </c>
      <c r="H502" s="51" t="s">
        <v>254</v>
      </c>
      <c r="I502" s="25">
        <v>6600.0</v>
      </c>
      <c r="J502" s="58">
        <f>G502*11/12</f>
        <v>3941.666667</v>
      </c>
      <c r="K502" s="9">
        <v>4600.0</v>
      </c>
      <c r="L502" s="26"/>
      <c r="M502" s="26"/>
      <c r="N502" s="26"/>
    </row>
    <row r="503" ht="21.75" hidden="1" customHeight="1">
      <c r="A503" s="27" t="s">
        <v>1301</v>
      </c>
      <c r="B503" s="5" t="s">
        <v>1302</v>
      </c>
      <c r="C503" s="5" t="s">
        <v>1303</v>
      </c>
      <c r="D503" s="75"/>
      <c r="E503" s="4"/>
      <c r="F503" s="5"/>
      <c r="G503" s="8"/>
      <c r="H503" s="51"/>
      <c r="I503" s="25"/>
      <c r="J503" s="58"/>
      <c r="K503" s="9"/>
      <c r="L503" s="26"/>
      <c r="M503" s="26"/>
      <c r="N503" s="26"/>
    </row>
    <row r="504" ht="21.75" hidden="1" customHeight="1">
      <c r="A504" s="27"/>
      <c r="B504" s="55"/>
      <c r="C504" s="27"/>
      <c r="D504" s="75"/>
      <c r="E504" s="4"/>
      <c r="F504" s="5"/>
      <c r="G504" s="25"/>
      <c r="H504" s="51"/>
      <c r="I504" s="25"/>
      <c r="J504" s="58"/>
      <c r="K504" s="9"/>
      <c r="L504" s="26"/>
      <c r="M504" s="26"/>
      <c r="N504" s="26"/>
    </row>
    <row r="505" ht="31.5" hidden="1" customHeight="1">
      <c r="A505" s="43" t="s">
        <v>1304</v>
      </c>
      <c r="B505" s="13"/>
      <c r="C505" s="93"/>
      <c r="D505" s="100"/>
      <c r="E505" s="20"/>
      <c r="F505" s="21"/>
      <c r="G505" s="95"/>
      <c r="H505" s="11"/>
      <c r="I505" s="94"/>
      <c r="J505" s="95"/>
      <c r="K505" s="95"/>
      <c r="L505" s="26"/>
      <c r="M505" s="26"/>
      <c r="N505" s="26"/>
    </row>
    <row r="506" ht="21.75" customHeight="1">
      <c r="A506" s="11" t="s">
        <v>0</v>
      </c>
      <c r="B506" s="11" t="s">
        <v>1</v>
      </c>
      <c r="C506" s="11" t="s">
        <v>2</v>
      </c>
      <c r="D506" s="12" t="s">
        <v>3</v>
      </c>
      <c r="E506" s="11" t="s">
        <v>4</v>
      </c>
      <c r="F506" s="13"/>
      <c r="G506" s="14" t="s">
        <v>5</v>
      </c>
      <c r="H506" s="11" t="s">
        <v>6</v>
      </c>
      <c r="I506" s="15" t="s">
        <v>7</v>
      </c>
      <c r="J506" s="15" t="s">
        <v>8</v>
      </c>
      <c r="K506" s="16" t="s">
        <v>9</v>
      </c>
      <c r="L506" s="17"/>
      <c r="M506" s="17"/>
      <c r="N506" s="17"/>
    </row>
    <row r="507" ht="21.75" customHeight="1">
      <c r="A507" s="27" t="s">
        <v>1305</v>
      </c>
      <c r="B507" s="22" t="s">
        <v>1306</v>
      </c>
      <c r="C507" s="27" t="s">
        <v>1307</v>
      </c>
      <c r="D507" s="68" t="s">
        <v>1308</v>
      </c>
      <c r="E507" s="4">
        <v>66.0</v>
      </c>
      <c r="F507" s="5" t="s">
        <v>15</v>
      </c>
      <c r="G507" s="9">
        <v>1560.0</v>
      </c>
      <c r="H507" s="32" t="s">
        <v>254</v>
      </c>
      <c r="I507" s="25">
        <v>2980.0</v>
      </c>
      <c r="J507" s="58">
        <f t="shared" ref="J507:J508" si="30">G507*11/12</f>
        <v>1430</v>
      </c>
      <c r="K507" s="58" t="s">
        <v>250</v>
      </c>
      <c r="L507" s="26"/>
      <c r="M507" s="26"/>
      <c r="N507" s="26"/>
    </row>
    <row r="508" ht="21.75" customHeight="1">
      <c r="A508" s="27" t="s">
        <v>1309</v>
      </c>
      <c r="B508" s="22" t="s">
        <v>1310</v>
      </c>
      <c r="C508" s="27" t="s">
        <v>1311</v>
      </c>
      <c r="D508" s="68" t="s">
        <v>1312</v>
      </c>
      <c r="E508" s="4">
        <v>35.0</v>
      </c>
      <c r="F508" s="5" t="s">
        <v>15</v>
      </c>
      <c r="G508" s="9">
        <v>2700.0</v>
      </c>
      <c r="H508" s="32" t="s">
        <v>254</v>
      </c>
      <c r="I508" s="25">
        <v>4200.0</v>
      </c>
      <c r="J508" s="58">
        <f t="shared" si="30"/>
        <v>2475</v>
      </c>
      <c r="K508" s="58" t="s">
        <v>250</v>
      </c>
      <c r="L508" s="26"/>
      <c r="M508" s="26"/>
      <c r="N508" s="26"/>
    </row>
    <row r="509" ht="21.75" hidden="1" customHeight="1">
      <c r="A509" s="27"/>
      <c r="B509" s="22"/>
      <c r="C509" s="27"/>
      <c r="D509" s="32"/>
      <c r="E509" s="4"/>
      <c r="F509" s="5"/>
      <c r="G509" s="9"/>
      <c r="H509" s="32"/>
      <c r="I509" s="8"/>
      <c r="J509" s="58"/>
      <c r="K509" s="9"/>
      <c r="L509" s="26"/>
      <c r="M509" s="26"/>
      <c r="N509" s="26"/>
    </row>
    <row r="510" ht="31.5" hidden="1" customHeight="1">
      <c r="A510" s="43" t="s">
        <v>1313</v>
      </c>
      <c r="B510" s="13"/>
      <c r="C510" s="93"/>
      <c r="D510" s="11"/>
      <c r="E510" s="20"/>
      <c r="F510" s="21"/>
      <c r="G510" s="95"/>
      <c r="H510" s="11"/>
      <c r="I510" s="94"/>
      <c r="J510" s="95"/>
      <c r="K510" s="95"/>
      <c r="L510" s="26"/>
      <c r="M510" s="26"/>
      <c r="N510" s="26"/>
    </row>
    <row r="511" ht="21.75" customHeight="1">
      <c r="A511" s="11" t="s">
        <v>0</v>
      </c>
      <c r="B511" s="11" t="s">
        <v>1</v>
      </c>
      <c r="C511" s="11" t="s">
        <v>2</v>
      </c>
      <c r="D511" s="12" t="s">
        <v>3</v>
      </c>
      <c r="E511" s="11" t="s">
        <v>4</v>
      </c>
      <c r="F511" s="13"/>
      <c r="G511" s="14" t="s">
        <v>5</v>
      </c>
      <c r="H511" s="11" t="s">
        <v>6</v>
      </c>
      <c r="I511" s="15" t="s">
        <v>7</v>
      </c>
      <c r="J511" s="15" t="s">
        <v>8</v>
      </c>
      <c r="K511" s="16" t="s">
        <v>9</v>
      </c>
      <c r="L511" s="17"/>
      <c r="M511" s="17"/>
      <c r="N511" s="17"/>
    </row>
    <row r="512" ht="21.75" hidden="1" customHeight="1">
      <c r="A512" s="22" t="s">
        <v>1314</v>
      </c>
      <c r="B512" s="22" t="s">
        <v>1315</v>
      </c>
      <c r="C512" s="27" t="s">
        <v>1316</v>
      </c>
      <c r="D512" s="32"/>
      <c r="E512" s="4"/>
      <c r="F512" s="5"/>
      <c r="G512" s="9"/>
      <c r="H512" s="72"/>
      <c r="I512" s="8"/>
      <c r="J512" s="9"/>
      <c r="K512" s="9"/>
      <c r="L512" s="26"/>
      <c r="M512" s="26"/>
      <c r="N512" s="26"/>
    </row>
    <row r="513" ht="21.75" customHeight="1">
      <c r="A513" s="27" t="s">
        <v>1317</v>
      </c>
      <c r="B513" s="22" t="s">
        <v>1318</v>
      </c>
      <c r="C513" s="27" t="s">
        <v>1316</v>
      </c>
      <c r="D513" s="68" t="s">
        <v>1319</v>
      </c>
      <c r="E513" s="4">
        <v>106.0</v>
      </c>
      <c r="F513" s="5" t="s">
        <v>15</v>
      </c>
      <c r="G513" s="9">
        <v>1430.0</v>
      </c>
      <c r="H513" s="32" t="s">
        <v>250</v>
      </c>
      <c r="I513" s="25">
        <v>3680.0</v>
      </c>
      <c r="J513" s="9"/>
      <c r="K513" s="9"/>
      <c r="L513" s="26"/>
      <c r="M513" s="26"/>
      <c r="N513" s="26"/>
    </row>
    <row r="514" ht="21.75" hidden="1" customHeight="1">
      <c r="A514" s="27" t="s">
        <v>1320</v>
      </c>
      <c r="B514" s="22" t="s">
        <v>1321</v>
      </c>
      <c r="C514" s="27" t="s">
        <v>1322</v>
      </c>
      <c r="D514" s="32"/>
      <c r="E514" s="4"/>
      <c r="F514" s="5"/>
      <c r="G514" s="9"/>
      <c r="H514" s="72"/>
      <c r="I514" s="8"/>
      <c r="J514" s="9"/>
      <c r="K514" s="9"/>
      <c r="L514" s="26"/>
      <c r="M514" s="26"/>
      <c r="N514" s="26"/>
    </row>
    <row r="515" ht="21.75" hidden="1" customHeight="1">
      <c r="A515" s="27" t="s">
        <v>1323</v>
      </c>
      <c r="B515" s="22" t="s">
        <v>1324</v>
      </c>
      <c r="C515" s="27" t="s">
        <v>1325</v>
      </c>
      <c r="D515" s="32"/>
      <c r="E515" s="4"/>
      <c r="F515" s="5"/>
      <c r="G515" s="9"/>
      <c r="H515" s="72"/>
      <c r="I515" s="8"/>
      <c r="J515" s="9"/>
      <c r="K515" s="9"/>
      <c r="L515" s="26"/>
      <c r="M515" s="26"/>
      <c r="N515" s="26"/>
    </row>
    <row r="516" ht="21.75" customHeight="1">
      <c r="A516" s="22" t="s">
        <v>1326</v>
      </c>
      <c r="B516" s="27" t="s">
        <v>1327</v>
      </c>
      <c r="C516" s="27" t="s">
        <v>1328</v>
      </c>
      <c r="D516" s="3"/>
      <c r="E516" s="4">
        <v>13.0</v>
      </c>
      <c r="F516" s="5" t="s">
        <v>15</v>
      </c>
      <c r="G516" s="9">
        <v>488.0</v>
      </c>
      <c r="H516" s="32" t="s">
        <v>964</v>
      </c>
      <c r="I516" s="8"/>
      <c r="J516" s="58"/>
      <c r="K516" s="9"/>
      <c r="L516" s="26"/>
      <c r="M516" s="26"/>
      <c r="N516" s="26"/>
    </row>
    <row r="517" ht="21.75" hidden="1" customHeight="1">
      <c r="A517" s="22" t="s">
        <v>1329</v>
      </c>
      <c r="B517" s="27" t="s">
        <v>1330</v>
      </c>
      <c r="C517" s="27" t="s">
        <v>1331</v>
      </c>
      <c r="D517" s="3"/>
      <c r="E517" s="4"/>
      <c r="F517" s="5"/>
      <c r="G517" s="9"/>
      <c r="H517" s="72"/>
      <c r="I517" s="8"/>
      <c r="J517" s="58"/>
      <c r="K517" s="9"/>
      <c r="L517" s="26"/>
      <c r="M517" s="26"/>
      <c r="N517" s="26"/>
    </row>
    <row r="518" ht="21.75" hidden="1" customHeight="1">
      <c r="A518" s="2"/>
      <c r="B518" s="2"/>
      <c r="C518" s="27"/>
      <c r="D518" s="3"/>
      <c r="E518" s="4"/>
      <c r="F518" s="5"/>
      <c r="G518" s="6"/>
      <c r="H518" s="7"/>
      <c r="I518" s="8"/>
      <c r="J518" s="9"/>
      <c r="K518" s="9"/>
      <c r="L518" s="26"/>
      <c r="M518" s="26"/>
      <c r="N518" s="26"/>
    </row>
    <row r="519" ht="31.5" hidden="1" customHeight="1">
      <c r="A519" s="43" t="s">
        <v>1332</v>
      </c>
      <c r="B519" s="13"/>
      <c r="C519" s="11"/>
      <c r="D519" s="12"/>
      <c r="E519" s="20"/>
      <c r="F519" s="21"/>
      <c r="G519" s="14"/>
      <c r="H519" s="11"/>
      <c r="I519" s="15"/>
      <c r="J519" s="15"/>
      <c r="K519" s="16"/>
      <c r="L519" s="26"/>
      <c r="M519" s="26"/>
      <c r="N519" s="26"/>
    </row>
    <row r="520" ht="21.75" customHeight="1">
      <c r="A520" s="11" t="s">
        <v>0</v>
      </c>
      <c r="B520" s="11" t="s">
        <v>1</v>
      </c>
      <c r="C520" s="11" t="s">
        <v>2</v>
      </c>
      <c r="D520" s="12" t="s">
        <v>3</v>
      </c>
      <c r="E520" s="11" t="s">
        <v>4</v>
      </c>
      <c r="F520" s="13"/>
      <c r="G520" s="14" t="s">
        <v>5</v>
      </c>
      <c r="H520" s="11" t="s">
        <v>6</v>
      </c>
      <c r="I520" s="15" t="s">
        <v>7</v>
      </c>
      <c r="J520" s="15" t="s">
        <v>8</v>
      </c>
      <c r="K520" s="16" t="s">
        <v>9</v>
      </c>
      <c r="L520" s="17"/>
      <c r="M520" s="17"/>
      <c r="N520" s="17"/>
    </row>
    <row r="521" ht="21.75" customHeight="1">
      <c r="A521" s="99" t="s">
        <v>1333</v>
      </c>
      <c r="B521" s="27" t="s">
        <v>1334</v>
      </c>
      <c r="C521" s="27" t="s">
        <v>1335</v>
      </c>
      <c r="D521" s="68" t="s">
        <v>1207</v>
      </c>
      <c r="E521" s="4">
        <v>12.0</v>
      </c>
      <c r="F521" s="5" t="s">
        <v>15</v>
      </c>
      <c r="G521" s="91">
        <v>11880.0</v>
      </c>
      <c r="H521" s="51" t="s">
        <v>250</v>
      </c>
      <c r="I521" s="8"/>
      <c r="J521" s="9"/>
      <c r="K521" s="9"/>
      <c r="L521" s="26"/>
      <c r="M521" s="26"/>
      <c r="N521" s="26"/>
    </row>
    <row r="522" ht="21.75" customHeight="1">
      <c r="A522" s="99" t="s">
        <v>1336</v>
      </c>
      <c r="B522" s="27" t="s">
        <v>1337</v>
      </c>
      <c r="C522" s="27" t="s">
        <v>1338</v>
      </c>
      <c r="D522" s="68" t="s">
        <v>1339</v>
      </c>
      <c r="E522" s="4">
        <v>3.0</v>
      </c>
      <c r="F522" s="5" t="s">
        <v>15</v>
      </c>
      <c r="G522" s="91">
        <v>7450.0</v>
      </c>
      <c r="H522" s="51" t="s">
        <v>250</v>
      </c>
      <c r="I522" s="8"/>
      <c r="J522" s="9"/>
      <c r="K522" s="9"/>
      <c r="L522" s="26"/>
      <c r="M522" s="26"/>
      <c r="N522" s="26"/>
    </row>
    <row r="523" ht="21.75" customHeight="1">
      <c r="A523" s="99" t="s">
        <v>1340</v>
      </c>
      <c r="B523" s="27" t="s">
        <v>1341</v>
      </c>
      <c r="C523" s="27" t="s">
        <v>1342</v>
      </c>
      <c r="D523" s="68" t="s">
        <v>973</v>
      </c>
      <c r="E523" s="4">
        <v>4.0</v>
      </c>
      <c r="F523" s="5" t="s">
        <v>15</v>
      </c>
      <c r="G523" s="91">
        <v>14470.0</v>
      </c>
      <c r="H523" s="51" t="s">
        <v>250</v>
      </c>
      <c r="I523" s="8"/>
      <c r="J523" s="9"/>
      <c r="K523" s="9"/>
      <c r="L523" s="26"/>
      <c r="M523" s="26"/>
      <c r="N523" s="26"/>
    </row>
    <row r="524" ht="21.75" customHeight="1">
      <c r="A524" s="99" t="s">
        <v>1343</v>
      </c>
      <c r="B524" s="27" t="s">
        <v>1344</v>
      </c>
      <c r="C524" s="27" t="s">
        <v>1345</v>
      </c>
      <c r="D524" s="68" t="s">
        <v>1207</v>
      </c>
      <c r="E524" s="4">
        <v>2.0</v>
      </c>
      <c r="F524" s="5" t="s">
        <v>15</v>
      </c>
      <c r="G524" s="91">
        <v>4420.0</v>
      </c>
      <c r="H524" s="51" t="s">
        <v>250</v>
      </c>
      <c r="I524" s="8"/>
      <c r="J524" s="9"/>
      <c r="K524" s="9"/>
      <c r="L524" s="26"/>
      <c r="M524" s="26"/>
      <c r="N524" s="26"/>
    </row>
    <row r="525" ht="21.75" hidden="1" customHeight="1">
      <c r="A525" s="99" t="s">
        <v>1346</v>
      </c>
      <c r="B525" s="27" t="s">
        <v>1347</v>
      </c>
      <c r="C525" s="27" t="s">
        <v>1348</v>
      </c>
      <c r="D525" s="68" t="s">
        <v>1349</v>
      </c>
      <c r="E525" s="101"/>
      <c r="F525" s="102"/>
      <c r="G525" s="91">
        <v>5180.0</v>
      </c>
      <c r="H525" s="51" t="s">
        <v>250</v>
      </c>
      <c r="I525" s="8"/>
      <c r="J525" s="42"/>
      <c r="K525" s="9"/>
      <c r="L525" s="26"/>
      <c r="M525" s="26"/>
      <c r="N525" s="26"/>
    </row>
    <row r="526" ht="21.75" hidden="1" customHeight="1">
      <c r="A526" s="99" t="s">
        <v>1350</v>
      </c>
      <c r="B526" s="27" t="s">
        <v>1351</v>
      </c>
      <c r="C526" s="27" t="s">
        <v>1352</v>
      </c>
      <c r="D526" s="68" t="s">
        <v>1353</v>
      </c>
      <c r="E526" s="101"/>
      <c r="F526" s="102"/>
      <c r="G526" s="91">
        <v>6910.0</v>
      </c>
      <c r="H526" s="51" t="s">
        <v>250</v>
      </c>
      <c r="I526" s="8"/>
      <c r="J526" s="103"/>
      <c r="K526" s="9"/>
      <c r="L526" s="26"/>
      <c r="M526" s="26"/>
      <c r="N526" s="26"/>
    </row>
    <row r="527" ht="21.75" hidden="1" customHeight="1">
      <c r="A527" s="99" t="s">
        <v>1354</v>
      </c>
      <c r="B527" s="27" t="s">
        <v>1355</v>
      </c>
      <c r="C527" s="22" t="s">
        <v>1356</v>
      </c>
      <c r="D527" s="68" t="s">
        <v>973</v>
      </c>
      <c r="E527" s="101"/>
      <c r="F527" s="102"/>
      <c r="G527" s="91">
        <v>4750.0</v>
      </c>
      <c r="H527" s="51" t="s">
        <v>250</v>
      </c>
      <c r="I527" s="8"/>
      <c r="J527" s="103"/>
      <c r="K527" s="9"/>
      <c r="L527" s="26"/>
      <c r="M527" s="26"/>
      <c r="N527" s="26"/>
    </row>
    <row r="528" ht="21.75" hidden="1" customHeight="1">
      <c r="A528" s="99" t="s">
        <v>1357</v>
      </c>
      <c r="B528" s="27" t="s">
        <v>1358</v>
      </c>
      <c r="C528" s="27" t="s">
        <v>1359</v>
      </c>
      <c r="D528" s="68" t="s">
        <v>1349</v>
      </c>
      <c r="E528" s="69"/>
      <c r="F528" s="29"/>
      <c r="G528" s="91">
        <v>4320.0</v>
      </c>
      <c r="H528" s="51" t="s">
        <v>250</v>
      </c>
      <c r="I528" s="8"/>
      <c r="J528" s="103"/>
      <c r="K528" s="9"/>
      <c r="L528" s="26"/>
      <c r="M528" s="26"/>
      <c r="N528" s="26"/>
    </row>
    <row r="529" ht="21.75" hidden="1" customHeight="1">
      <c r="A529" s="99" t="s">
        <v>1360</v>
      </c>
      <c r="B529" s="27" t="s">
        <v>1361</v>
      </c>
      <c r="C529" s="104" t="s">
        <v>1362</v>
      </c>
      <c r="D529" s="68" t="s">
        <v>363</v>
      </c>
      <c r="E529" s="101"/>
      <c r="F529" s="102"/>
      <c r="G529" s="91">
        <v>5290.0</v>
      </c>
      <c r="H529" s="51" t="s">
        <v>250</v>
      </c>
      <c r="I529" s="8"/>
      <c r="J529" s="103"/>
      <c r="K529" s="9"/>
      <c r="L529" s="26"/>
      <c r="M529" s="26"/>
      <c r="N529" s="26"/>
    </row>
    <row r="530" ht="21.75" hidden="1" customHeight="1">
      <c r="A530" s="2"/>
      <c r="B530" s="2"/>
      <c r="C530" s="2"/>
      <c r="D530" s="68"/>
      <c r="E530" s="4"/>
      <c r="F530" s="5"/>
      <c r="G530" s="6"/>
      <c r="H530" s="7"/>
      <c r="I530" s="8"/>
      <c r="J530" s="9"/>
      <c r="K530" s="9"/>
      <c r="L530" s="26"/>
      <c r="M530" s="26"/>
      <c r="N530" s="26"/>
    </row>
    <row r="531" ht="31.5" hidden="1" customHeight="1">
      <c r="A531" s="43" t="s">
        <v>1363</v>
      </c>
      <c r="B531" s="13"/>
      <c r="C531" s="44"/>
      <c r="D531" s="105"/>
      <c r="E531" s="20"/>
      <c r="F531" s="21"/>
      <c r="G531" s="14"/>
      <c r="H531" s="97"/>
      <c r="I531" s="94"/>
      <c r="J531" s="95"/>
      <c r="K531" s="95"/>
      <c r="L531" s="26"/>
      <c r="M531" s="26"/>
      <c r="N531" s="26"/>
    </row>
    <row r="532" ht="21.75" customHeight="1">
      <c r="A532" s="11" t="s">
        <v>0</v>
      </c>
      <c r="B532" s="11" t="s">
        <v>1</v>
      </c>
      <c r="C532" s="11" t="s">
        <v>2</v>
      </c>
      <c r="D532" s="12" t="s">
        <v>3</v>
      </c>
      <c r="E532" s="11" t="s">
        <v>4</v>
      </c>
      <c r="F532" s="13"/>
      <c r="G532" s="14" t="s">
        <v>5</v>
      </c>
      <c r="H532" s="11" t="s">
        <v>6</v>
      </c>
      <c r="I532" s="15" t="s">
        <v>7</v>
      </c>
      <c r="J532" s="15" t="s">
        <v>8</v>
      </c>
      <c r="K532" s="16" t="s">
        <v>9</v>
      </c>
      <c r="L532" s="17"/>
      <c r="M532" s="17"/>
      <c r="N532" s="17"/>
    </row>
    <row r="533" ht="21.75" customHeight="1">
      <c r="A533" s="22" t="s">
        <v>1364</v>
      </c>
      <c r="B533" s="27" t="s">
        <v>1365</v>
      </c>
      <c r="C533" s="27" t="s">
        <v>1366</v>
      </c>
      <c r="D533" s="68" t="s">
        <v>1367</v>
      </c>
      <c r="E533" s="4">
        <v>34.0</v>
      </c>
      <c r="F533" s="5" t="s">
        <v>15</v>
      </c>
      <c r="G533" s="25">
        <v>4100.0</v>
      </c>
      <c r="H533" s="32" t="s">
        <v>254</v>
      </c>
      <c r="I533" s="8">
        <v>6980.0</v>
      </c>
      <c r="J533" s="9">
        <f t="shared" ref="J533:J535" si="31">G533*11/12</f>
        <v>3758.333333</v>
      </c>
      <c r="K533" s="9">
        <v>4800.0</v>
      </c>
      <c r="L533" s="26"/>
      <c r="M533" s="26"/>
      <c r="N533" s="26"/>
    </row>
    <row r="534" ht="21.75" customHeight="1">
      <c r="A534" s="22" t="s">
        <v>1368</v>
      </c>
      <c r="B534" s="27" t="s">
        <v>1369</v>
      </c>
      <c r="C534" s="27" t="s">
        <v>1370</v>
      </c>
      <c r="D534" s="68" t="s">
        <v>973</v>
      </c>
      <c r="E534" s="4">
        <v>35.0</v>
      </c>
      <c r="F534" s="5" t="s">
        <v>15</v>
      </c>
      <c r="G534" s="25">
        <v>11000.0</v>
      </c>
      <c r="H534" s="32" t="s">
        <v>254</v>
      </c>
      <c r="I534" s="8"/>
      <c r="J534" s="9">
        <f t="shared" si="31"/>
        <v>10083.33333</v>
      </c>
      <c r="K534" s="9"/>
      <c r="L534" s="26"/>
      <c r="M534" s="26"/>
      <c r="N534" s="26"/>
    </row>
    <row r="535" ht="21.75" customHeight="1">
      <c r="A535" s="22" t="s">
        <v>1371</v>
      </c>
      <c r="B535" s="27" t="s">
        <v>1372</v>
      </c>
      <c r="C535" s="27" t="s">
        <v>1373</v>
      </c>
      <c r="D535" s="68" t="s">
        <v>1374</v>
      </c>
      <c r="E535" s="4">
        <v>21.0</v>
      </c>
      <c r="F535" s="5" t="s">
        <v>15</v>
      </c>
      <c r="G535" s="25">
        <v>12960.0</v>
      </c>
      <c r="H535" s="32" t="s">
        <v>254</v>
      </c>
      <c r="I535" s="8"/>
      <c r="J535" s="9">
        <f t="shared" si="31"/>
        <v>11880</v>
      </c>
      <c r="K535" s="9"/>
      <c r="L535" s="26"/>
      <c r="M535" s="26"/>
      <c r="N535" s="26"/>
    </row>
    <row r="536" ht="21.75" hidden="1" customHeight="1">
      <c r="A536" s="22"/>
      <c r="B536" s="2"/>
      <c r="C536" s="106"/>
      <c r="D536" s="3"/>
      <c r="E536" s="4"/>
      <c r="F536" s="5"/>
      <c r="G536" s="25"/>
      <c r="H536" s="71"/>
      <c r="I536" s="8"/>
      <c r="J536" s="9"/>
      <c r="K536" s="9"/>
      <c r="L536" s="26"/>
      <c r="M536" s="26"/>
      <c r="N536" s="26"/>
    </row>
    <row r="537" ht="31.5" hidden="1" customHeight="1">
      <c r="A537" s="43" t="s">
        <v>1375</v>
      </c>
      <c r="B537" s="13"/>
      <c r="C537" s="11"/>
      <c r="D537" s="12"/>
      <c r="E537" s="20"/>
      <c r="F537" s="21"/>
      <c r="G537" s="14"/>
      <c r="H537" s="11"/>
      <c r="I537" s="15"/>
      <c r="J537" s="15"/>
      <c r="K537" s="16"/>
      <c r="L537" s="26"/>
      <c r="M537" s="26"/>
      <c r="N537" s="26"/>
    </row>
    <row r="538" ht="21.75" customHeight="1">
      <c r="A538" s="11" t="s">
        <v>0</v>
      </c>
      <c r="B538" s="11" t="s">
        <v>1</v>
      </c>
      <c r="C538" s="11" t="s">
        <v>2</v>
      </c>
      <c r="D538" s="12" t="s">
        <v>3</v>
      </c>
      <c r="E538" s="11" t="s">
        <v>4</v>
      </c>
      <c r="F538" s="13"/>
      <c r="G538" s="14" t="s">
        <v>5</v>
      </c>
      <c r="H538" s="11" t="s">
        <v>6</v>
      </c>
      <c r="I538" s="15" t="s">
        <v>7</v>
      </c>
      <c r="J538" s="15" t="s">
        <v>8</v>
      </c>
      <c r="K538" s="16" t="s">
        <v>9</v>
      </c>
      <c r="L538" s="17"/>
      <c r="M538" s="17"/>
      <c r="N538" s="17"/>
    </row>
    <row r="539" ht="21.75" hidden="1" customHeight="1">
      <c r="A539" s="22" t="s">
        <v>1376</v>
      </c>
      <c r="B539" s="22" t="s">
        <v>1377</v>
      </c>
      <c r="C539" s="22" t="s">
        <v>1378</v>
      </c>
      <c r="D539" s="84"/>
      <c r="E539" s="69"/>
      <c r="F539" s="29"/>
      <c r="G539" s="25">
        <v>1580.0</v>
      </c>
      <c r="H539" s="51" t="s">
        <v>254</v>
      </c>
      <c r="I539" s="25">
        <v>2680.0</v>
      </c>
      <c r="J539" s="25">
        <f t="shared" ref="J539:J542" si="32">G539*11/12</f>
        <v>1448.333333</v>
      </c>
      <c r="K539" s="25"/>
      <c r="L539" s="67"/>
      <c r="M539" s="67"/>
      <c r="N539" s="67"/>
    </row>
    <row r="540" ht="21.75" hidden="1" customHeight="1">
      <c r="A540" s="22" t="s">
        <v>1379</v>
      </c>
      <c r="B540" s="27" t="s">
        <v>1380</v>
      </c>
      <c r="C540" s="27" t="s">
        <v>1381</v>
      </c>
      <c r="D540" s="3"/>
      <c r="E540" s="4"/>
      <c r="F540" s="5"/>
      <c r="G540" s="9">
        <v>980.0</v>
      </c>
      <c r="H540" s="32" t="s">
        <v>254</v>
      </c>
      <c r="I540" s="25">
        <v>1680.0</v>
      </c>
      <c r="J540" s="25">
        <f t="shared" si="32"/>
        <v>898.3333333</v>
      </c>
      <c r="K540" s="9"/>
      <c r="L540" s="26"/>
      <c r="M540" s="26"/>
      <c r="N540" s="26"/>
    </row>
    <row r="541" ht="21.75" customHeight="1">
      <c r="A541" s="22" t="s">
        <v>1382</v>
      </c>
      <c r="B541" s="27" t="s">
        <v>1383</v>
      </c>
      <c r="C541" s="27" t="s">
        <v>1384</v>
      </c>
      <c r="D541" s="3"/>
      <c r="E541" s="4">
        <v>36.0</v>
      </c>
      <c r="F541" s="5" t="s">
        <v>15</v>
      </c>
      <c r="G541" s="9">
        <v>1580.0</v>
      </c>
      <c r="H541" s="32" t="s">
        <v>254</v>
      </c>
      <c r="I541" s="25">
        <v>2680.0</v>
      </c>
      <c r="J541" s="25">
        <f t="shared" si="32"/>
        <v>1448.333333</v>
      </c>
      <c r="K541" s="9"/>
      <c r="L541" s="26"/>
      <c r="M541" s="26"/>
      <c r="N541" s="26"/>
    </row>
    <row r="542" ht="21.75" customHeight="1">
      <c r="A542" s="22" t="s">
        <v>1385</v>
      </c>
      <c r="B542" s="27" t="s">
        <v>1386</v>
      </c>
      <c r="C542" s="27" t="s">
        <v>1387</v>
      </c>
      <c r="D542" s="3"/>
      <c r="E542" s="4">
        <v>66.0</v>
      </c>
      <c r="F542" s="5" t="s">
        <v>15</v>
      </c>
      <c r="G542" s="9">
        <v>980.0</v>
      </c>
      <c r="H542" s="32" t="s">
        <v>254</v>
      </c>
      <c r="I542" s="25">
        <v>1680.0</v>
      </c>
      <c r="J542" s="25">
        <f t="shared" si="32"/>
        <v>898.3333333</v>
      </c>
      <c r="K542" s="9"/>
      <c r="L542" s="26"/>
      <c r="M542" s="26"/>
      <c r="N542" s="26"/>
    </row>
    <row r="543" ht="21.75" hidden="1" customHeight="1">
      <c r="A543" s="22"/>
      <c r="B543" s="2"/>
      <c r="C543" s="2"/>
      <c r="D543" s="3"/>
      <c r="E543" s="4"/>
      <c r="F543" s="5"/>
      <c r="G543" s="9"/>
      <c r="H543" s="32"/>
      <c r="I543" s="25"/>
      <c r="J543" s="25"/>
      <c r="K543" s="9"/>
      <c r="L543" s="26"/>
      <c r="M543" s="26"/>
      <c r="N543" s="26"/>
    </row>
    <row r="544" ht="31.5" hidden="1" customHeight="1">
      <c r="A544" s="43" t="s">
        <v>1388</v>
      </c>
      <c r="B544" s="13"/>
      <c r="C544" s="11"/>
      <c r="D544" s="12"/>
      <c r="E544" s="20"/>
      <c r="F544" s="21"/>
      <c r="G544" s="14"/>
      <c r="H544" s="11"/>
      <c r="I544" s="15"/>
      <c r="J544" s="15"/>
      <c r="K544" s="16"/>
      <c r="L544" s="26"/>
      <c r="M544" s="26"/>
      <c r="N544" s="26"/>
    </row>
    <row r="545" ht="21.75" customHeight="1">
      <c r="A545" s="11" t="s">
        <v>0</v>
      </c>
      <c r="B545" s="11" t="s">
        <v>1</v>
      </c>
      <c r="C545" s="11" t="s">
        <v>2</v>
      </c>
      <c r="D545" s="12" t="s">
        <v>3</v>
      </c>
      <c r="E545" s="11" t="s">
        <v>4</v>
      </c>
      <c r="F545" s="13"/>
      <c r="G545" s="14" t="s">
        <v>5</v>
      </c>
      <c r="H545" s="11" t="s">
        <v>6</v>
      </c>
      <c r="I545" s="15" t="s">
        <v>7</v>
      </c>
      <c r="J545" s="15" t="s">
        <v>8</v>
      </c>
      <c r="K545" s="16" t="s">
        <v>9</v>
      </c>
      <c r="L545" s="17"/>
      <c r="M545" s="17"/>
      <c r="N545" s="17"/>
    </row>
    <row r="546" ht="21.75" hidden="1" customHeight="1">
      <c r="A546" s="22" t="s">
        <v>1389</v>
      </c>
      <c r="B546" s="27" t="s">
        <v>1390</v>
      </c>
      <c r="C546" s="27" t="s">
        <v>1391</v>
      </c>
      <c r="D546" s="3"/>
      <c r="E546" s="4"/>
      <c r="F546" s="5"/>
      <c r="G546" s="9">
        <v>600.0</v>
      </c>
      <c r="H546" s="32" t="s">
        <v>254</v>
      </c>
      <c r="I546" s="25">
        <v>1100.0</v>
      </c>
      <c r="J546" s="25">
        <f>G546*11/12</f>
        <v>550</v>
      </c>
      <c r="K546" s="9"/>
      <c r="L546" s="26"/>
      <c r="M546" s="26"/>
      <c r="N546" s="26"/>
    </row>
    <row r="547" ht="21.75" hidden="1" customHeight="1">
      <c r="A547" s="22" t="s">
        <v>1392</v>
      </c>
      <c r="B547" s="27" t="s">
        <v>1393</v>
      </c>
      <c r="C547" s="27" t="s">
        <v>1394</v>
      </c>
      <c r="D547" s="3"/>
      <c r="E547" s="4"/>
      <c r="F547" s="5"/>
      <c r="G547" s="9">
        <v>600.0</v>
      </c>
      <c r="H547" s="32" t="s">
        <v>254</v>
      </c>
      <c r="I547" s="25">
        <v>1100.0</v>
      </c>
      <c r="J547" s="25">
        <v>550.0</v>
      </c>
      <c r="K547" s="9"/>
      <c r="L547" s="26"/>
      <c r="M547" s="26"/>
      <c r="N547" s="26"/>
    </row>
    <row r="548" ht="21.75" hidden="1" customHeight="1">
      <c r="A548" s="22" t="s">
        <v>1395</v>
      </c>
      <c r="B548" s="27" t="s">
        <v>1396</v>
      </c>
      <c r="C548" s="27" t="s">
        <v>1397</v>
      </c>
      <c r="D548" s="3"/>
      <c r="E548" s="4"/>
      <c r="F548" s="5"/>
      <c r="G548" s="9">
        <v>600.0</v>
      </c>
      <c r="H548" s="32" t="s">
        <v>254</v>
      </c>
      <c r="I548" s="25">
        <v>1100.0</v>
      </c>
      <c r="J548" s="25">
        <v>550.0</v>
      </c>
      <c r="K548" s="9"/>
      <c r="L548" s="26"/>
      <c r="M548" s="26"/>
      <c r="N548" s="26"/>
    </row>
    <row r="549" ht="21.75" hidden="1" customHeight="1">
      <c r="A549" s="22"/>
      <c r="B549" s="2"/>
      <c r="C549" s="2"/>
      <c r="D549" s="3"/>
      <c r="E549" s="4"/>
      <c r="F549" s="5"/>
      <c r="G549" s="9"/>
      <c r="H549" s="32"/>
      <c r="I549" s="25"/>
      <c r="J549" s="25"/>
      <c r="K549" s="9"/>
      <c r="L549" s="26"/>
      <c r="M549" s="26"/>
      <c r="N549" s="26"/>
    </row>
    <row r="550" ht="31.5" hidden="1" customHeight="1">
      <c r="A550" s="43" t="s">
        <v>1398</v>
      </c>
      <c r="B550" s="13"/>
      <c r="C550" s="11"/>
      <c r="D550" s="12"/>
      <c r="E550" s="20"/>
      <c r="F550" s="21"/>
      <c r="G550" s="14"/>
      <c r="H550" s="11"/>
      <c r="I550" s="15"/>
      <c r="J550" s="15"/>
      <c r="K550" s="16"/>
      <c r="L550" s="26"/>
      <c r="M550" s="26"/>
      <c r="N550" s="26"/>
    </row>
    <row r="551" ht="21.75" customHeight="1">
      <c r="A551" s="11" t="s">
        <v>0</v>
      </c>
      <c r="B551" s="11" t="s">
        <v>1</v>
      </c>
      <c r="C551" s="11" t="s">
        <v>2</v>
      </c>
      <c r="D551" s="12" t="s">
        <v>3</v>
      </c>
      <c r="E551" s="11" t="s">
        <v>4</v>
      </c>
      <c r="F551" s="13"/>
      <c r="G551" s="14" t="s">
        <v>5</v>
      </c>
      <c r="H551" s="11" t="s">
        <v>6</v>
      </c>
      <c r="I551" s="15" t="s">
        <v>7</v>
      </c>
      <c r="J551" s="15" t="s">
        <v>8</v>
      </c>
      <c r="K551" s="16" t="s">
        <v>9</v>
      </c>
      <c r="L551" s="17"/>
      <c r="M551" s="17"/>
      <c r="N551" s="17"/>
    </row>
    <row r="552" ht="21.75" hidden="1" customHeight="1">
      <c r="A552" s="27" t="s">
        <v>1399</v>
      </c>
      <c r="B552" s="27" t="s">
        <v>1400</v>
      </c>
      <c r="C552" s="27" t="s">
        <v>1401</v>
      </c>
      <c r="D552" s="3"/>
      <c r="E552" s="4"/>
      <c r="F552" s="5"/>
      <c r="G552" s="9">
        <v>312.0</v>
      </c>
      <c r="H552" s="51" t="s">
        <v>279</v>
      </c>
      <c r="I552" s="25">
        <v>680.0</v>
      </c>
      <c r="J552" s="9">
        <v>286.0</v>
      </c>
      <c r="K552" s="9"/>
      <c r="L552" s="26"/>
      <c r="M552" s="26"/>
      <c r="N552" s="26"/>
    </row>
    <row r="553" ht="12.75" customHeight="1">
      <c r="A553" s="27" t="s">
        <v>1402</v>
      </c>
      <c r="B553" s="27" t="s">
        <v>1403</v>
      </c>
      <c r="C553" s="27" t="s">
        <v>1404</v>
      </c>
      <c r="D553" s="3"/>
      <c r="E553" s="4">
        <v>395.0</v>
      </c>
      <c r="F553" s="5" t="s">
        <v>15</v>
      </c>
      <c r="G553" s="36" t="s">
        <v>1405</v>
      </c>
      <c r="H553" s="62" t="s">
        <v>1406</v>
      </c>
      <c r="I553" s="25">
        <v>800.0</v>
      </c>
      <c r="J553" s="9">
        <v>358.0</v>
      </c>
      <c r="K553" s="9"/>
      <c r="L553" s="26"/>
      <c r="M553" s="26"/>
      <c r="N553" s="26"/>
    </row>
    <row r="554" ht="21.75" hidden="1" customHeight="1">
      <c r="A554" s="27" t="s">
        <v>1407</v>
      </c>
      <c r="B554" s="27" t="s">
        <v>1408</v>
      </c>
      <c r="C554" s="27" t="s">
        <v>1409</v>
      </c>
      <c r="D554" s="3"/>
      <c r="E554" s="4"/>
      <c r="F554" s="5"/>
      <c r="G554" s="9">
        <v>300.0</v>
      </c>
      <c r="H554" s="32" t="s">
        <v>254</v>
      </c>
      <c r="I554" s="25">
        <v>660.0</v>
      </c>
      <c r="J554" s="9">
        <f t="shared" ref="J554:J563" si="33">G554*11/12</f>
        <v>275</v>
      </c>
      <c r="K554" s="9">
        <v>400.0</v>
      </c>
      <c r="L554" s="26"/>
      <c r="M554" s="26"/>
      <c r="N554" s="26"/>
    </row>
    <row r="555" ht="21.75" customHeight="1">
      <c r="A555" s="27" t="s">
        <v>1410</v>
      </c>
      <c r="B555" s="27" t="s">
        <v>1411</v>
      </c>
      <c r="C555" s="27" t="s">
        <v>1412</v>
      </c>
      <c r="D555" s="3"/>
      <c r="E555" s="4">
        <v>55.0</v>
      </c>
      <c r="F555" s="5" t="s">
        <v>15</v>
      </c>
      <c r="G555" s="9">
        <v>290.0</v>
      </c>
      <c r="H555" s="32" t="s">
        <v>254</v>
      </c>
      <c r="I555" s="25">
        <v>600.0</v>
      </c>
      <c r="J555" s="9">
        <f t="shared" si="33"/>
        <v>265.8333333</v>
      </c>
      <c r="K555" s="9"/>
      <c r="L555" s="26"/>
      <c r="M555" s="26"/>
      <c r="N555" s="26"/>
    </row>
    <row r="556" ht="21.75" customHeight="1">
      <c r="A556" s="27" t="s">
        <v>1413</v>
      </c>
      <c r="B556" s="27" t="s">
        <v>1414</v>
      </c>
      <c r="C556" s="27" t="s">
        <v>1412</v>
      </c>
      <c r="D556" s="3"/>
      <c r="E556" s="4">
        <v>604.0</v>
      </c>
      <c r="F556" s="5" t="s">
        <v>15</v>
      </c>
      <c r="G556" s="9">
        <v>300.0</v>
      </c>
      <c r="H556" s="32" t="s">
        <v>254</v>
      </c>
      <c r="I556" s="25">
        <v>600.0</v>
      </c>
      <c r="J556" s="9">
        <f t="shared" si="33"/>
        <v>275</v>
      </c>
      <c r="K556" s="9"/>
      <c r="L556" s="26"/>
      <c r="M556" s="26"/>
      <c r="N556" s="26"/>
    </row>
    <row r="557" ht="21.75" hidden="1" customHeight="1">
      <c r="A557" s="27" t="s">
        <v>1415</v>
      </c>
      <c r="B557" s="27" t="s">
        <v>1416</v>
      </c>
      <c r="C557" s="27" t="s">
        <v>1417</v>
      </c>
      <c r="D557" s="3"/>
      <c r="E557" s="4"/>
      <c r="F557" s="5"/>
      <c r="G557" s="9">
        <v>285.0</v>
      </c>
      <c r="H557" s="32" t="s">
        <v>254</v>
      </c>
      <c r="I557" s="25">
        <v>600.0</v>
      </c>
      <c r="J557" s="9">
        <f t="shared" si="33"/>
        <v>261.25</v>
      </c>
      <c r="K557" s="9">
        <v>400.0</v>
      </c>
      <c r="L557" s="26"/>
      <c r="M557" s="26"/>
      <c r="N557" s="26"/>
    </row>
    <row r="558" ht="21.75" customHeight="1">
      <c r="A558" s="27" t="s">
        <v>1418</v>
      </c>
      <c r="B558" s="27" t="s">
        <v>1419</v>
      </c>
      <c r="C558" s="27" t="s">
        <v>1417</v>
      </c>
      <c r="D558" s="3"/>
      <c r="E558" s="4">
        <v>265.0</v>
      </c>
      <c r="F558" s="5" t="s">
        <v>15</v>
      </c>
      <c r="G558" s="9">
        <v>290.0</v>
      </c>
      <c r="H558" s="32" t="s">
        <v>254</v>
      </c>
      <c r="I558" s="25">
        <v>600.0</v>
      </c>
      <c r="J558" s="9">
        <f t="shared" si="33"/>
        <v>265.8333333</v>
      </c>
      <c r="K558" s="9"/>
      <c r="L558" s="26"/>
      <c r="M558" s="26"/>
      <c r="N558" s="26"/>
    </row>
    <row r="559" ht="21.75" hidden="1" customHeight="1">
      <c r="A559" s="27" t="s">
        <v>1420</v>
      </c>
      <c r="B559" s="27" t="s">
        <v>1421</v>
      </c>
      <c r="C559" s="27" t="s">
        <v>1422</v>
      </c>
      <c r="D559" s="3"/>
      <c r="E559" s="4"/>
      <c r="F559" s="5"/>
      <c r="G559" s="9">
        <v>285.0</v>
      </c>
      <c r="H559" s="32" t="s">
        <v>254</v>
      </c>
      <c r="I559" s="25">
        <v>600.0</v>
      </c>
      <c r="J559" s="9">
        <f t="shared" si="33"/>
        <v>261.25</v>
      </c>
      <c r="K559" s="9">
        <v>400.0</v>
      </c>
      <c r="L559" s="26"/>
      <c r="M559" s="26"/>
      <c r="N559" s="26"/>
    </row>
    <row r="560" ht="21.75" hidden="1" customHeight="1">
      <c r="A560" s="27" t="s">
        <v>1423</v>
      </c>
      <c r="B560" s="27" t="s">
        <v>1424</v>
      </c>
      <c r="C560" s="27" t="s">
        <v>1422</v>
      </c>
      <c r="D560" s="3"/>
      <c r="E560" s="4"/>
      <c r="F560" s="5"/>
      <c r="G560" s="9">
        <v>290.0</v>
      </c>
      <c r="H560" s="32" t="s">
        <v>254</v>
      </c>
      <c r="I560" s="25">
        <v>600.0</v>
      </c>
      <c r="J560" s="9">
        <f t="shared" si="33"/>
        <v>265.8333333</v>
      </c>
      <c r="K560" s="9"/>
      <c r="L560" s="26"/>
      <c r="M560" s="26"/>
      <c r="N560" s="26"/>
    </row>
    <row r="561" ht="21.75" customHeight="1">
      <c r="A561" s="27" t="s">
        <v>1425</v>
      </c>
      <c r="B561" s="27" t="s">
        <v>1426</v>
      </c>
      <c r="C561" s="27" t="s">
        <v>1422</v>
      </c>
      <c r="D561" s="3"/>
      <c r="E561" s="4">
        <v>530.0</v>
      </c>
      <c r="F561" s="5" t="s">
        <v>15</v>
      </c>
      <c r="G561" s="9">
        <v>300.0</v>
      </c>
      <c r="H561" s="32" t="s">
        <v>254</v>
      </c>
      <c r="I561" s="25">
        <v>600.0</v>
      </c>
      <c r="J561" s="9">
        <f t="shared" si="33"/>
        <v>275</v>
      </c>
      <c r="K561" s="9"/>
      <c r="L561" s="26"/>
      <c r="M561" s="26"/>
      <c r="N561" s="26"/>
    </row>
    <row r="562" ht="21.75" customHeight="1">
      <c r="A562" s="27" t="s">
        <v>1427</v>
      </c>
      <c r="B562" s="27" t="s">
        <v>1428</v>
      </c>
      <c r="C562" s="27" t="s">
        <v>1429</v>
      </c>
      <c r="D562" s="3"/>
      <c r="E562" s="4">
        <v>105.0</v>
      </c>
      <c r="F562" s="5" t="s">
        <v>15</v>
      </c>
      <c r="G562" s="9">
        <v>335.0</v>
      </c>
      <c r="H562" s="32" t="s">
        <v>254</v>
      </c>
      <c r="I562" s="25">
        <v>680.0</v>
      </c>
      <c r="J562" s="9">
        <f t="shared" si="33"/>
        <v>307.0833333</v>
      </c>
      <c r="K562" s="9"/>
      <c r="L562" s="26"/>
      <c r="M562" s="26"/>
      <c r="N562" s="26"/>
    </row>
    <row r="563" ht="21.75" hidden="1" customHeight="1">
      <c r="A563" s="27" t="s">
        <v>1430</v>
      </c>
      <c r="B563" s="27" t="s">
        <v>1431</v>
      </c>
      <c r="C563" s="27" t="s">
        <v>1432</v>
      </c>
      <c r="D563" s="3"/>
      <c r="E563" s="4"/>
      <c r="F563" s="5"/>
      <c r="G563" s="9">
        <v>320.0</v>
      </c>
      <c r="H563" s="32" t="s">
        <v>254</v>
      </c>
      <c r="I563" s="25">
        <v>650.0</v>
      </c>
      <c r="J563" s="9">
        <f t="shared" si="33"/>
        <v>293.3333333</v>
      </c>
      <c r="K563" s="9"/>
      <c r="L563" s="26"/>
      <c r="M563" s="26"/>
      <c r="N563" s="26"/>
    </row>
    <row r="564" ht="12.75" customHeight="1">
      <c r="A564" s="27" t="s">
        <v>1433</v>
      </c>
      <c r="B564" s="27" t="s">
        <v>1434</v>
      </c>
      <c r="C564" s="27" t="s">
        <v>1435</v>
      </c>
      <c r="D564" s="3"/>
      <c r="E564" s="4">
        <v>585.0</v>
      </c>
      <c r="F564" s="5" t="s">
        <v>15</v>
      </c>
      <c r="G564" s="36" t="s">
        <v>1436</v>
      </c>
      <c r="H564" s="52" t="s">
        <v>1437</v>
      </c>
      <c r="I564" s="25">
        <v>700.0</v>
      </c>
      <c r="J564" s="9">
        <v>303.0</v>
      </c>
      <c r="K564" s="9"/>
      <c r="L564" s="26"/>
      <c r="M564" s="26"/>
      <c r="N564" s="26"/>
    </row>
    <row r="565" ht="12.75" hidden="1" customHeight="1">
      <c r="A565" s="27" t="s">
        <v>1438</v>
      </c>
      <c r="B565" s="27" t="s">
        <v>1439</v>
      </c>
      <c r="C565" s="27" t="s">
        <v>1440</v>
      </c>
      <c r="D565" s="3"/>
      <c r="E565" s="4"/>
      <c r="F565" s="5"/>
      <c r="G565" s="36" t="s">
        <v>1441</v>
      </c>
      <c r="H565" s="52" t="s">
        <v>1442</v>
      </c>
      <c r="I565" s="25">
        <v>750.0</v>
      </c>
      <c r="J565" s="9">
        <v>339.0</v>
      </c>
      <c r="K565" s="9"/>
      <c r="L565" s="26"/>
      <c r="M565" s="26"/>
      <c r="N565" s="26"/>
    </row>
    <row r="566" ht="12.75" customHeight="1">
      <c r="A566" s="27" t="s">
        <v>1443</v>
      </c>
      <c r="B566" s="27" t="s">
        <v>1444</v>
      </c>
      <c r="C566" s="27" t="s">
        <v>1445</v>
      </c>
      <c r="D566" s="3"/>
      <c r="E566" s="4">
        <v>709.0</v>
      </c>
      <c r="F566" s="5" t="s">
        <v>15</v>
      </c>
      <c r="G566" s="36" t="s">
        <v>1446</v>
      </c>
      <c r="H566" s="52" t="s">
        <v>1447</v>
      </c>
      <c r="I566" s="25">
        <v>750.0</v>
      </c>
      <c r="J566" s="9">
        <v>339.0</v>
      </c>
      <c r="K566" s="9"/>
      <c r="L566" s="26"/>
      <c r="M566" s="26"/>
      <c r="N566" s="26"/>
    </row>
    <row r="567" ht="21.75" hidden="1" customHeight="1">
      <c r="A567" s="27" t="s">
        <v>1448</v>
      </c>
      <c r="B567" s="5" t="s">
        <v>1449</v>
      </c>
      <c r="C567" s="5" t="s">
        <v>1450</v>
      </c>
      <c r="D567" s="3"/>
      <c r="E567" s="4"/>
      <c r="F567" s="5"/>
      <c r="G567" s="9"/>
      <c r="H567" s="32"/>
      <c r="I567" s="25"/>
      <c r="J567" s="9"/>
      <c r="K567" s="9"/>
      <c r="L567" s="26"/>
      <c r="M567" s="26"/>
      <c r="N567" s="26"/>
    </row>
    <row r="568" ht="21.75" hidden="1" customHeight="1">
      <c r="A568" s="107"/>
      <c r="B568" s="2"/>
      <c r="C568" s="2"/>
      <c r="D568" s="3"/>
      <c r="E568" s="4"/>
      <c r="F568" s="5"/>
      <c r="G568" s="6"/>
      <c r="H568" s="71"/>
      <c r="I568" s="8"/>
      <c r="J568" s="9"/>
      <c r="K568" s="9"/>
      <c r="L568" s="26"/>
      <c r="M568" s="26"/>
      <c r="N568" s="26"/>
    </row>
    <row r="569" ht="31.5" hidden="1" customHeight="1">
      <c r="A569" s="43" t="s">
        <v>1451</v>
      </c>
      <c r="B569" s="13"/>
      <c r="C569" s="11"/>
      <c r="D569" s="12"/>
      <c r="E569" s="20"/>
      <c r="F569" s="21"/>
      <c r="G569" s="14"/>
      <c r="H569" s="56"/>
      <c r="I569" s="15"/>
      <c r="J569" s="15"/>
      <c r="K569" s="15"/>
      <c r="L569" s="26"/>
      <c r="M569" s="26"/>
      <c r="N569" s="26"/>
    </row>
    <row r="570" ht="21.75" customHeight="1">
      <c r="A570" s="11" t="s">
        <v>0</v>
      </c>
      <c r="B570" s="11" t="s">
        <v>1</v>
      </c>
      <c r="C570" s="11" t="s">
        <v>2</v>
      </c>
      <c r="D570" s="12" t="s">
        <v>3</v>
      </c>
      <c r="E570" s="11" t="s">
        <v>4</v>
      </c>
      <c r="F570" s="13"/>
      <c r="G570" s="14" t="s">
        <v>5</v>
      </c>
      <c r="H570" s="11" t="s">
        <v>6</v>
      </c>
      <c r="I570" s="15" t="s">
        <v>7</v>
      </c>
      <c r="J570" s="15" t="s">
        <v>8</v>
      </c>
      <c r="K570" s="16" t="s">
        <v>9</v>
      </c>
      <c r="L570" s="17"/>
      <c r="M570" s="17"/>
      <c r="N570" s="17"/>
    </row>
    <row r="571" ht="47.25" customHeight="1">
      <c r="A571" s="53" t="s">
        <v>1452</v>
      </c>
      <c r="B571" s="38" t="s">
        <v>1453</v>
      </c>
      <c r="C571" s="27" t="s">
        <v>1454</v>
      </c>
      <c r="D571" s="75" t="s">
        <v>1455</v>
      </c>
      <c r="E571" s="4">
        <v>100.0</v>
      </c>
      <c r="F571" s="5" t="s">
        <v>15</v>
      </c>
      <c r="G571" s="25">
        <v>755.0</v>
      </c>
      <c r="H571" s="51" t="s">
        <v>254</v>
      </c>
      <c r="I571" s="50">
        <v>1280.0</v>
      </c>
      <c r="J571" s="25">
        <f>G571*11/12</f>
        <v>692.0833333</v>
      </c>
      <c r="K571" s="25"/>
      <c r="L571" s="26"/>
      <c r="M571" s="26"/>
      <c r="N571" s="26"/>
    </row>
    <row r="572" ht="21.75" customHeight="1">
      <c r="A572" s="53" t="s">
        <v>1456</v>
      </c>
      <c r="B572" s="38" t="s">
        <v>1457</v>
      </c>
      <c r="C572" s="27" t="s">
        <v>1458</v>
      </c>
      <c r="D572" s="75"/>
      <c r="E572" s="4">
        <v>112.0</v>
      </c>
      <c r="F572" s="5" t="s">
        <v>15</v>
      </c>
      <c r="G572" s="25">
        <v>760.0</v>
      </c>
      <c r="H572" s="51" t="s">
        <v>254</v>
      </c>
      <c r="I572" s="50">
        <v>1280.0</v>
      </c>
      <c r="J572" s="25"/>
      <c r="K572" s="25"/>
      <c r="L572" s="26"/>
      <c r="M572" s="26"/>
      <c r="N572" s="26"/>
    </row>
    <row r="573" ht="12.75" customHeight="1">
      <c r="A573" s="53" t="s">
        <v>1459</v>
      </c>
      <c r="B573" s="38" t="s">
        <v>1460</v>
      </c>
      <c r="C573" s="27" t="s">
        <v>1461</v>
      </c>
      <c r="D573" s="68" t="s">
        <v>1462</v>
      </c>
      <c r="E573" s="4">
        <v>3131.0</v>
      </c>
      <c r="F573" s="5" t="s">
        <v>15</v>
      </c>
      <c r="G573" s="25">
        <v>585.0</v>
      </c>
      <c r="H573" s="51" t="s">
        <v>254</v>
      </c>
      <c r="I573" s="50">
        <v>980.0</v>
      </c>
      <c r="J573" s="108">
        <f>G573*11/12</f>
        <v>536.25</v>
      </c>
      <c r="K573" s="25">
        <v>650.0</v>
      </c>
      <c r="L573" s="26"/>
      <c r="M573" s="26"/>
      <c r="N573" s="26"/>
    </row>
    <row r="574" ht="21.75" hidden="1" customHeight="1">
      <c r="A574" s="53" t="s">
        <v>1463</v>
      </c>
      <c r="B574" s="38" t="s">
        <v>1464</v>
      </c>
      <c r="C574" s="27" t="s">
        <v>1465</v>
      </c>
      <c r="D574" s="75"/>
      <c r="E574" s="4"/>
      <c r="F574" s="5"/>
      <c r="G574" s="25"/>
      <c r="H574" s="51"/>
      <c r="I574" s="50"/>
      <c r="J574" s="25"/>
      <c r="K574" s="25"/>
      <c r="L574" s="26"/>
      <c r="M574" s="26"/>
      <c r="N574" s="26"/>
    </row>
    <row r="575" ht="12.75" customHeight="1">
      <c r="A575" s="38" t="s">
        <v>1466</v>
      </c>
      <c r="B575" s="38" t="s">
        <v>1467</v>
      </c>
      <c r="C575" s="27" t="s">
        <v>1468</v>
      </c>
      <c r="D575" s="68" t="s">
        <v>1469</v>
      </c>
      <c r="E575" s="4">
        <v>5.0</v>
      </c>
      <c r="F575" s="5" t="s">
        <v>15</v>
      </c>
      <c r="G575" s="25">
        <v>1050.0</v>
      </c>
      <c r="H575" s="51" t="s">
        <v>254</v>
      </c>
      <c r="I575" s="50">
        <v>1780.0</v>
      </c>
      <c r="J575" s="25">
        <f t="shared" ref="J575:J594" si="34">G575*11/12</f>
        <v>962.5</v>
      </c>
      <c r="K575" s="25"/>
      <c r="L575" s="26"/>
      <c r="M575" s="26"/>
      <c r="N575" s="26"/>
    </row>
    <row r="576" ht="21.75" customHeight="1">
      <c r="A576" s="38" t="s">
        <v>1470</v>
      </c>
      <c r="B576" s="38" t="s">
        <v>1471</v>
      </c>
      <c r="C576" s="27" t="s">
        <v>1472</v>
      </c>
      <c r="D576" s="75"/>
      <c r="E576" s="4">
        <v>240.0</v>
      </c>
      <c r="F576" s="5" t="s">
        <v>15</v>
      </c>
      <c r="G576" s="25">
        <v>1060.0</v>
      </c>
      <c r="H576" s="51" t="s">
        <v>254</v>
      </c>
      <c r="I576" s="50">
        <v>1780.0</v>
      </c>
      <c r="J576" s="25">
        <f t="shared" si="34"/>
        <v>971.6666667</v>
      </c>
      <c r="K576" s="25"/>
      <c r="L576" s="26"/>
      <c r="M576" s="26"/>
      <c r="N576" s="26"/>
    </row>
    <row r="577" ht="21.75" customHeight="1">
      <c r="A577" s="38" t="s">
        <v>1473</v>
      </c>
      <c r="B577" s="38" t="s">
        <v>1474</v>
      </c>
      <c r="C577" s="27" t="s">
        <v>1475</v>
      </c>
      <c r="D577" s="68" t="s">
        <v>1476</v>
      </c>
      <c r="E577" s="4">
        <v>19.0</v>
      </c>
      <c r="F577" s="5" t="s">
        <v>15</v>
      </c>
      <c r="G577" s="25">
        <v>530.0</v>
      </c>
      <c r="H577" s="51" t="s">
        <v>250</v>
      </c>
      <c r="I577" s="50">
        <v>980.0</v>
      </c>
      <c r="J577" s="25">
        <f t="shared" si="34"/>
        <v>485.8333333</v>
      </c>
      <c r="K577" s="25"/>
      <c r="L577" s="26"/>
      <c r="M577" s="26"/>
      <c r="N577" s="26"/>
    </row>
    <row r="578" ht="21.75" customHeight="1">
      <c r="A578" s="38" t="s">
        <v>1477</v>
      </c>
      <c r="B578" s="38" t="s">
        <v>1474</v>
      </c>
      <c r="C578" s="27" t="s">
        <v>1478</v>
      </c>
      <c r="D578" s="75"/>
      <c r="E578" s="4">
        <v>233.0</v>
      </c>
      <c r="F578" s="5" t="s">
        <v>15</v>
      </c>
      <c r="G578" s="25">
        <v>580.0</v>
      </c>
      <c r="H578" s="51" t="s">
        <v>254</v>
      </c>
      <c r="I578" s="50">
        <v>980.0</v>
      </c>
      <c r="J578" s="25">
        <f t="shared" si="34"/>
        <v>531.6666667</v>
      </c>
      <c r="K578" s="25"/>
      <c r="L578" s="26"/>
      <c r="M578" s="26"/>
      <c r="N578" s="26"/>
    </row>
    <row r="579" ht="21.75" customHeight="1">
      <c r="A579" s="53" t="s">
        <v>1479</v>
      </c>
      <c r="B579" s="38" t="s">
        <v>1480</v>
      </c>
      <c r="C579" s="27" t="s">
        <v>1481</v>
      </c>
      <c r="D579" s="75"/>
      <c r="E579" s="4">
        <v>145.0</v>
      </c>
      <c r="F579" s="5" t="s">
        <v>15</v>
      </c>
      <c r="G579" s="25">
        <v>1160.0</v>
      </c>
      <c r="H579" s="51" t="s">
        <v>254</v>
      </c>
      <c r="I579" s="50">
        <v>1980.0</v>
      </c>
      <c r="J579" s="25">
        <f t="shared" si="34"/>
        <v>1063.333333</v>
      </c>
      <c r="K579" s="25"/>
      <c r="L579" s="26"/>
      <c r="M579" s="26"/>
      <c r="N579" s="26"/>
    </row>
    <row r="580" ht="21.75" customHeight="1">
      <c r="A580" s="53" t="s">
        <v>1482</v>
      </c>
      <c r="B580" s="38" t="s">
        <v>1483</v>
      </c>
      <c r="C580" s="27" t="s">
        <v>1481</v>
      </c>
      <c r="D580" s="68" t="s">
        <v>1484</v>
      </c>
      <c r="E580" s="4">
        <v>63.0</v>
      </c>
      <c r="F580" s="5" t="s">
        <v>15</v>
      </c>
      <c r="G580" s="25">
        <v>1160.0</v>
      </c>
      <c r="H580" s="51" t="s">
        <v>254</v>
      </c>
      <c r="I580" s="50">
        <v>1980.0</v>
      </c>
      <c r="J580" s="25">
        <f t="shared" si="34"/>
        <v>1063.333333</v>
      </c>
      <c r="K580" s="25"/>
      <c r="L580" s="26"/>
      <c r="M580" s="26"/>
      <c r="N580" s="26"/>
    </row>
    <row r="581" ht="12.75" customHeight="1">
      <c r="A581" s="53" t="s">
        <v>1485</v>
      </c>
      <c r="B581" s="38" t="s">
        <v>1486</v>
      </c>
      <c r="C581" s="27" t="s">
        <v>1487</v>
      </c>
      <c r="D581" s="68" t="s">
        <v>1488</v>
      </c>
      <c r="E581" s="4">
        <v>6.0</v>
      </c>
      <c r="F581" s="5" t="s">
        <v>15</v>
      </c>
      <c r="G581" s="25">
        <v>960.0</v>
      </c>
      <c r="H581" s="51" t="s">
        <v>254</v>
      </c>
      <c r="I581" s="50">
        <v>1680.0</v>
      </c>
      <c r="J581" s="25">
        <f t="shared" si="34"/>
        <v>880</v>
      </c>
      <c r="K581" s="25"/>
      <c r="L581" s="26"/>
      <c r="M581" s="26"/>
      <c r="N581" s="26"/>
    </row>
    <row r="582" ht="21.75" customHeight="1">
      <c r="A582" s="53" t="s">
        <v>1489</v>
      </c>
      <c r="B582" s="38" t="s">
        <v>1490</v>
      </c>
      <c r="C582" s="27" t="s">
        <v>1491</v>
      </c>
      <c r="D582" s="68" t="s">
        <v>1492</v>
      </c>
      <c r="E582" s="4">
        <v>269.0</v>
      </c>
      <c r="F582" s="5" t="s">
        <v>15</v>
      </c>
      <c r="G582" s="25">
        <v>960.0</v>
      </c>
      <c r="H582" s="51" t="s">
        <v>254</v>
      </c>
      <c r="I582" s="50">
        <v>1680.0</v>
      </c>
      <c r="J582" s="25">
        <f t="shared" si="34"/>
        <v>880</v>
      </c>
      <c r="K582" s="25"/>
      <c r="L582" s="26"/>
      <c r="M582" s="26"/>
      <c r="N582" s="26"/>
    </row>
    <row r="583" ht="21.75" customHeight="1">
      <c r="A583" s="53" t="s">
        <v>1493</v>
      </c>
      <c r="B583" s="38" t="s">
        <v>1494</v>
      </c>
      <c r="C583" s="27" t="s">
        <v>1495</v>
      </c>
      <c r="D583" s="75"/>
      <c r="E583" s="4">
        <v>297.0</v>
      </c>
      <c r="F583" s="5" t="s">
        <v>15</v>
      </c>
      <c r="G583" s="25">
        <v>1000.0</v>
      </c>
      <c r="H583" s="51" t="s">
        <v>254</v>
      </c>
      <c r="I583" s="50">
        <v>1680.0</v>
      </c>
      <c r="J583" s="25">
        <f t="shared" si="34"/>
        <v>916.6666667</v>
      </c>
      <c r="K583" s="25"/>
      <c r="L583" s="26"/>
      <c r="M583" s="26"/>
      <c r="N583" s="26"/>
    </row>
    <row r="584" ht="21.75" customHeight="1">
      <c r="A584" s="38" t="s">
        <v>1496</v>
      </c>
      <c r="B584" s="38" t="s">
        <v>1497</v>
      </c>
      <c r="C584" s="27" t="s">
        <v>1498</v>
      </c>
      <c r="D584" s="68" t="s">
        <v>363</v>
      </c>
      <c r="E584" s="4">
        <v>5.0</v>
      </c>
      <c r="F584" s="5" t="s">
        <v>15</v>
      </c>
      <c r="G584" s="25">
        <v>5020.0</v>
      </c>
      <c r="H584" s="51" t="s">
        <v>254</v>
      </c>
      <c r="I584" s="50">
        <v>8600.0</v>
      </c>
      <c r="J584" s="25">
        <f t="shared" si="34"/>
        <v>4601.666667</v>
      </c>
      <c r="K584" s="25"/>
      <c r="L584" s="26"/>
      <c r="M584" s="26"/>
      <c r="N584" s="26"/>
    </row>
    <row r="585" ht="21.75" customHeight="1">
      <c r="A585" s="38" t="s">
        <v>1499</v>
      </c>
      <c r="B585" s="38" t="s">
        <v>1500</v>
      </c>
      <c r="C585" s="27" t="s">
        <v>1501</v>
      </c>
      <c r="D585" s="68" t="s">
        <v>1502</v>
      </c>
      <c r="E585" s="4">
        <v>30.0</v>
      </c>
      <c r="F585" s="5" t="s">
        <v>15</v>
      </c>
      <c r="G585" s="25">
        <v>1400.0</v>
      </c>
      <c r="H585" s="51" t="s">
        <v>254</v>
      </c>
      <c r="I585" s="50">
        <v>2380.0</v>
      </c>
      <c r="J585" s="25">
        <f t="shared" si="34"/>
        <v>1283.333333</v>
      </c>
      <c r="K585" s="25"/>
      <c r="L585" s="26"/>
      <c r="M585" s="26"/>
      <c r="N585" s="26"/>
    </row>
    <row r="586" ht="21.75" customHeight="1">
      <c r="A586" s="22" t="s">
        <v>1503</v>
      </c>
      <c r="B586" s="22" t="s">
        <v>1504</v>
      </c>
      <c r="C586" s="22" t="s">
        <v>1505</v>
      </c>
      <c r="D586" s="68" t="s">
        <v>1506</v>
      </c>
      <c r="E586" s="4">
        <v>34.0</v>
      </c>
      <c r="F586" s="29" t="s">
        <v>15</v>
      </c>
      <c r="G586" s="25">
        <v>1400.0</v>
      </c>
      <c r="H586" s="51" t="s">
        <v>254</v>
      </c>
      <c r="I586" s="25">
        <v>2380.0</v>
      </c>
      <c r="J586" s="25">
        <f t="shared" si="34"/>
        <v>1283.333333</v>
      </c>
      <c r="K586" s="25"/>
      <c r="L586" s="67"/>
      <c r="M586" s="67"/>
      <c r="N586" s="67"/>
    </row>
    <row r="587" ht="21.75" customHeight="1">
      <c r="A587" s="53" t="s">
        <v>1507</v>
      </c>
      <c r="B587" s="38" t="s">
        <v>1508</v>
      </c>
      <c r="C587" s="27" t="s">
        <v>1509</v>
      </c>
      <c r="D587" s="109"/>
      <c r="E587" s="4">
        <v>26.0</v>
      </c>
      <c r="F587" s="5" t="s">
        <v>15</v>
      </c>
      <c r="G587" s="25">
        <v>1400.0</v>
      </c>
      <c r="H587" s="51" t="s">
        <v>254</v>
      </c>
      <c r="I587" s="50">
        <v>2380.0</v>
      </c>
      <c r="J587" s="25">
        <f t="shared" si="34"/>
        <v>1283.333333</v>
      </c>
      <c r="K587" s="25"/>
      <c r="L587" s="26"/>
      <c r="M587" s="26"/>
      <c r="N587" s="26"/>
    </row>
    <row r="588" ht="12.75" customHeight="1">
      <c r="A588" s="53" t="s">
        <v>1510</v>
      </c>
      <c r="B588" s="38" t="s">
        <v>1511</v>
      </c>
      <c r="C588" s="27" t="s">
        <v>1512</v>
      </c>
      <c r="D588" s="68" t="s">
        <v>1513</v>
      </c>
      <c r="E588" s="4">
        <v>42.0</v>
      </c>
      <c r="F588" s="5" t="s">
        <v>15</v>
      </c>
      <c r="G588" s="25">
        <v>3060.0</v>
      </c>
      <c r="H588" s="51" t="s">
        <v>254</v>
      </c>
      <c r="I588" s="50">
        <v>4860.0</v>
      </c>
      <c r="J588" s="25">
        <f t="shared" si="34"/>
        <v>2805</v>
      </c>
      <c r="K588" s="25"/>
      <c r="L588" s="26"/>
      <c r="M588" s="26"/>
      <c r="N588" s="26"/>
    </row>
    <row r="589" ht="21.75" customHeight="1">
      <c r="A589" s="53" t="s">
        <v>1514</v>
      </c>
      <c r="B589" s="38" t="s">
        <v>1515</v>
      </c>
      <c r="C589" s="27" t="s">
        <v>1516</v>
      </c>
      <c r="D589" s="68" t="s">
        <v>1517</v>
      </c>
      <c r="E589" s="4">
        <v>103.0</v>
      </c>
      <c r="F589" s="5" t="s">
        <v>15</v>
      </c>
      <c r="G589" s="25">
        <v>1750.0</v>
      </c>
      <c r="H589" s="51" t="s">
        <v>254</v>
      </c>
      <c r="I589" s="50">
        <v>2980.0</v>
      </c>
      <c r="J589" s="25">
        <f t="shared" si="34"/>
        <v>1604.166667</v>
      </c>
      <c r="K589" s="25"/>
      <c r="L589" s="26"/>
      <c r="M589" s="26"/>
      <c r="N589" s="26"/>
    </row>
    <row r="590" ht="21.75" customHeight="1">
      <c r="A590" s="53" t="s">
        <v>1518</v>
      </c>
      <c r="B590" s="38" t="s">
        <v>1519</v>
      </c>
      <c r="C590" s="27" t="s">
        <v>1520</v>
      </c>
      <c r="D590" s="68" t="s">
        <v>1521</v>
      </c>
      <c r="E590" s="4">
        <v>211.0</v>
      </c>
      <c r="F590" s="5" t="s">
        <v>15</v>
      </c>
      <c r="G590" s="25">
        <v>960.0</v>
      </c>
      <c r="H590" s="51" t="s">
        <v>254</v>
      </c>
      <c r="I590" s="50">
        <v>1680.0</v>
      </c>
      <c r="J590" s="25">
        <f t="shared" si="34"/>
        <v>880</v>
      </c>
      <c r="K590" s="25"/>
      <c r="L590" s="26"/>
      <c r="M590" s="26"/>
      <c r="N590" s="26"/>
    </row>
    <row r="591" ht="21.75" hidden="1" customHeight="1">
      <c r="A591" s="53" t="s">
        <v>1522</v>
      </c>
      <c r="B591" s="38" t="s">
        <v>1523</v>
      </c>
      <c r="C591" s="27" t="s">
        <v>1524</v>
      </c>
      <c r="D591" s="81"/>
      <c r="E591" s="4"/>
      <c r="F591" s="5"/>
      <c r="G591" s="25">
        <v>460.0</v>
      </c>
      <c r="H591" s="51" t="s">
        <v>254</v>
      </c>
      <c r="I591" s="50">
        <v>780.0</v>
      </c>
      <c r="J591" s="25">
        <f t="shared" si="34"/>
        <v>421.6666667</v>
      </c>
      <c r="K591" s="25"/>
      <c r="L591" s="26"/>
      <c r="M591" s="26"/>
      <c r="N591" s="26"/>
    </row>
    <row r="592" ht="21.75" customHeight="1">
      <c r="A592" s="53" t="s">
        <v>1525</v>
      </c>
      <c r="B592" s="38" t="s">
        <v>1526</v>
      </c>
      <c r="C592" s="27" t="s">
        <v>1527</v>
      </c>
      <c r="D592" s="81"/>
      <c r="E592" s="4">
        <v>457.0</v>
      </c>
      <c r="F592" s="5" t="s">
        <v>15</v>
      </c>
      <c r="G592" s="25">
        <v>460.0</v>
      </c>
      <c r="H592" s="51" t="s">
        <v>254</v>
      </c>
      <c r="I592" s="50">
        <v>780.0</v>
      </c>
      <c r="J592" s="25">
        <f t="shared" si="34"/>
        <v>421.6666667</v>
      </c>
      <c r="K592" s="25"/>
      <c r="L592" s="26"/>
      <c r="M592" s="26"/>
      <c r="N592" s="26"/>
    </row>
    <row r="593" ht="21.75" customHeight="1">
      <c r="A593" s="38" t="s">
        <v>1528</v>
      </c>
      <c r="B593" s="38" t="s">
        <v>1529</v>
      </c>
      <c r="C593" s="27" t="s">
        <v>1530</v>
      </c>
      <c r="D593" s="3"/>
      <c r="E593" s="4">
        <v>109.0</v>
      </c>
      <c r="F593" s="5" t="s">
        <v>15</v>
      </c>
      <c r="G593" s="25">
        <v>460.0</v>
      </c>
      <c r="H593" s="51" t="s">
        <v>254</v>
      </c>
      <c r="I593" s="50">
        <v>780.0</v>
      </c>
      <c r="J593" s="25">
        <f t="shared" si="34"/>
        <v>421.6666667</v>
      </c>
      <c r="K593" s="25"/>
      <c r="L593" s="26"/>
      <c r="M593" s="26"/>
      <c r="N593" s="26"/>
    </row>
    <row r="594" ht="21.75" customHeight="1">
      <c r="A594" s="38" t="s">
        <v>1531</v>
      </c>
      <c r="B594" s="38" t="s">
        <v>1532</v>
      </c>
      <c r="C594" s="27" t="s">
        <v>1533</v>
      </c>
      <c r="D594" s="3"/>
      <c r="E594" s="4">
        <v>120.0</v>
      </c>
      <c r="F594" s="5" t="s">
        <v>15</v>
      </c>
      <c r="G594" s="25">
        <v>460.0</v>
      </c>
      <c r="H594" s="51" t="s">
        <v>254</v>
      </c>
      <c r="I594" s="50">
        <v>780.0</v>
      </c>
      <c r="J594" s="25">
        <f t="shared" si="34"/>
        <v>421.6666667</v>
      </c>
      <c r="K594" s="25"/>
      <c r="L594" s="26"/>
      <c r="M594" s="26"/>
      <c r="N594" s="26"/>
    </row>
    <row r="595" ht="21.75" hidden="1" customHeight="1">
      <c r="A595" s="38" t="s">
        <v>1534</v>
      </c>
      <c r="B595" s="5" t="s">
        <v>1535</v>
      </c>
      <c r="C595" s="5" t="s">
        <v>1536</v>
      </c>
      <c r="D595" s="3"/>
      <c r="E595" s="4"/>
      <c r="F595" s="5"/>
      <c r="G595" s="25"/>
      <c r="H595" s="51"/>
      <c r="I595" s="50"/>
      <c r="J595" s="25"/>
      <c r="K595" s="25"/>
      <c r="L595" s="26"/>
      <c r="M595" s="26"/>
      <c r="N595" s="26"/>
    </row>
    <row r="596" ht="21.75" hidden="1" customHeight="1">
      <c r="A596" s="38" t="s">
        <v>1537</v>
      </c>
      <c r="B596" s="5" t="s">
        <v>1538</v>
      </c>
      <c r="C596" s="5" t="s">
        <v>1539</v>
      </c>
      <c r="D596" s="3"/>
      <c r="E596" s="4"/>
      <c r="F596" s="5"/>
      <c r="G596" s="25"/>
      <c r="H596" s="51"/>
      <c r="I596" s="50"/>
      <c r="J596" s="25"/>
      <c r="K596" s="25"/>
      <c r="L596" s="26"/>
      <c r="M596" s="26"/>
      <c r="N596" s="26"/>
    </row>
    <row r="597" ht="21.75" hidden="1" customHeight="1">
      <c r="A597" s="38"/>
      <c r="B597" s="38"/>
      <c r="C597" s="27"/>
      <c r="D597" s="3"/>
      <c r="E597" s="4"/>
      <c r="F597" s="5"/>
      <c r="G597" s="25"/>
      <c r="H597" s="51"/>
      <c r="I597" s="50"/>
      <c r="J597" s="25"/>
      <c r="K597" s="25"/>
      <c r="L597" s="26"/>
      <c r="M597" s="26"/>
      <c r="N597" s="26"/>
    </row>
    <row r="598" ht="24.75" hidden="1" customHeight="1">
      <c r="A598" s="110" t="s">
        <v>1540</v>
      </c>
      <c r="B598" s="111"/>
      <c r="C598" s="112"/>
      <c r="D598" s="113"/>
      <c r="E598" s="114">
        <f>SUM(E4:E597)</f>
        <v>57594</v>
      </c>
      <c r="F598" s="115" t="s">
        <v>15</v>
      </c>
      <c r="G598" s="116"/>
      <c r="H598" s="117"/>
      <c r="I598" s="118"/>
      <c r="J598" s="118"/>
      <c r="K598" s="118"/>
      <c r="L598" s="26"/>
      <c r="M598" s="26"/>
      <c r="N598" s="26"/>
    </row>
    <row r="599" ht="28.5" hidden="1" customHeight="1">
      <c r="A599" s="110" t="s">
        <v>1541</v>
      </c>
      <c r="B599" s="111"/>
      <c r="C599" s="112"/>
      <c r="D599" s="113"/>
      <c r="E599" s="119">
        <f>E598+'七銘-級數酒庫存'!E442</f>
        <v>62768</v>
      </c>
      <c r="F599" s="120"/>
      <c r="G599" s="91"/>
      <c r="H599" s="121"/>
      <c r="I599" s="91"/>
      <c r="J599" s="91"/>
      <c r="K599" s="91"/>
      <c r="L599" s="26"/>
      <c r="M599" s="26"/>
      <c r="N599" s="26"/>
    </row>
    <row r="600" ht="9.0" hidden="1" customHeight="1">
      <c r="A600" s="122"/>
      <c r="B600" s="123"/>
      <c r="C600" s="123"/>
      <c r="D600" s="124"/>
      <c r="E600" s="125"/>
      <c r="F600" s="126"/>
      <c r="G600" s="127"/>
      <c r="H600" s="128"/>
      <c r="I600" s="127"/>
      <c r="J600" s="127"/>
      <c r="K600" s="127"/>
      <c r="L600" s="26"/>
      <c r="M600" s="26"/>
      <c r="N600" s="26"/>
    </row>
    <row r="601" ht="31.5" hidden="1" customHeight="1">
      <c r="A601" s="107" t="s">
        <v>1542</v>
      </c>
      <c r="B601" s="2"/>
      <c r="C601" s="2"/>
      <c r="D601" s="3"/>
      <c r="E601" s="4"/>
      <c r="F601" s="5"/>
      <c r="G601" s="6"/>
      <c r="H601" s="7"/>
      <c r="I601" s="8"/>
      <c r="J601" s="9"/>
      <c r="K601" s="9"/>
      <c r="L601" s="26"/>
      <c r="M601" s="26"/>
      <c r="N601" s="26"/>
    </row>
    <row r="602" ht="21.75" customHeight="1">
      <c r="A602" s="11" t="s">
        <v>0</v>
      </c>
      <c r="B602" s="11" t="s">
        <v>1</v>
      </c>
      <c r="C602" s="11" t="s">
        <v>2</v>
      </c>
      <c r="D602" s="12" t="s">
        <v>3</v>
      </c>
      <c r="E602" s="11" t="s">
        <v>1543</v>
      </c>
      <c r="F602" s="13"/>
      <c r="G602" s="45" t="s">
        <v>1544</v>
      </c>
      <c r="H602" s="46" t="s">
        <v>1545</v>
      </c>
      <c r="I602" s="129" t="s">
        <v>1546</v>
      </c>
      <c r="J602" s="129"/>
      <c r="K602" s="16" t="s">
        <v>9</v>
      </c>
      <c r="L602" s="26"/>
      <c r="M602" s="26"/>
      <c r="N602" s="26"/>
    </row>
    <row r="603" ht="21.75" customHeight="1">
      <c r="A603" s="5" t="s">
        <v>1547</v>
      </c>
      <c r="B603" s="5" t="s">
        <v>1548</v>
      </c>
      <c r="C603" s="5" t="s">
        <v>1549</v>
      </c>
      <c r="D603" s="3"/>
      <c r="E603" s="4">
        <v>805.0</v>
      </c>
      <c r="F603" s="5"/>
      <c r="G603" s="6">
        <v>140.0</v>
      </c>
      <c r="H603" s="71">
        <v>160.0</v>
      </c>
      <c r="I603" s="42">
        <v>165.0</v>
      </c>
      <c r="J603" s="42"/>
      <c r="K603" s="58"/>
      <c r="L603" s="26"/>
      <c r="M603" s="26"/>
      <c r="N603" s="26"/>
    </row>
    <row r="604" ht="21.75" hidden="1" customHeight="1">
      <c r="A604" s="130" t="s">
        <v>1550</v>
      </c>
      <c r="B604" s="27" t="s">
        <v>1551</v>
      </c>
      <c r="C604" s="5" t="s">
        <v>1549</v>
      </c>
      <c r="D604" s="3"/>
      <c r="E604" s="69"/>
      <c r="F604" s="29"/>
      <c r="G604" s="6">
        <v>135.0</v>
      </c>
      <c r="H604" s="7">
        <v>155.0</v>
      </c>
      <c r="I604" s="8">
        <v>160.0</v>
      </c>
      <c r="J604" s="9"/>
      <c r="K604" s="9"/>
      <c r="L604" s="26"/>
      <c r="M604" s="26"/>
      <c r="N604" s="26"/>
    </row>
    <row r="605" ht="21.75" hidden="1" customHeight="1">
      <c r="A605" s="130" t="s">
        <v>1552</v>
      </c>
      <c r="B605" s="22" t="s">
        <v>1553</v>
      </c>
      <c r="C605" s="5" t="s">
        <v>1549</v>
      </c>
      <c r="D605" s="3"/>
      <c r="E605" s="69"/>
      <c r="F605" s="29"/>
      <c r="G605" s="6"/>
      <c r="H605" s="7"/>
      <c r="I605" s="8"/>
      <c r="J605" s="9">
        <v>150.0</v>
      </c>
      <c r="K605" s="9"/>
      <c r="L605" s="26"/>
      <c r="M605" s="26"/>
      <c r="N605" s="26"/>
    </row>
    <row r="606" ht="21.75" customHeight="1">
      <c r="A606" s="130" t="s">
        <v>1554</v>
      </c>
      <c r="B606" s="27" t="s">
        <v>1555</v>
      </c>
      <c r="C606" s="27" t="s">
        <v>1549</v>
      </c>
      <c r="D606" s="3"/>
      <c r="E606" s="69">
        <v>199.0</v>
      </c>
      <c r="F606" s="29"/>
      <c r="G606" s="6">
        <v>300.0</v>
      </c>
      <c r="H606" s="7">
        <v>450.0</v>
      </c>
      <c r="I606" s="8"/>
      <c r="J606" s="9">
        <v>350.0</v>
      </c>
      <c r="K606" s="9"/>
      <c r="L606" s="26"/>
      <c r="M606" s="26"/>
      <c r="N606" s="26"/>
    </row>
    <row r="607" ht="21.75" hidden="1" customHeight="1">
      <c r="A607" s="22" t="s">
        <v>1556</v>
      </c>
      <c r="B607" s="22" t="s">
        <v>1557</v>
      </c>
      <c r="C607" s="27"/>
      <c r="D607" s="3"/>
      <c r="E607" s="69">
        <v>138.0</v>
      </c>
      <c r="F607" s="29"/>
      <c r="G607" s="6"/>
      <c r="H607" s="7"/>
      <c r="I607" s="8"/>
      <c r="J607" s="9"/>
      <c r="K607" s="9"/>
      <c r="L607" s="26"/>
      <c r="M607" s="26"/>
      <c r="N607" s="26"/>
    </row>
    <row r="608" ht="21.75" hidden="1" customHeight="1">
      <c r="A608" s="22" t="s">
        <v>1558</v>
      </c>
      <c r="B608" s="22" t="s">
        <v>1559</v>
      </c>
      <c r="C608" s="27"/>
      <c r="D608" s="3"/>
      <c r="E608" s="69">
        <v>1780.0</v>
      </c>
      <c r="F608" s="29"/>
      <c r="G608" s="6"/>
      <c r="H608" s="7"/>
      <c r="I608" s="8"/>
      <c r="J608" s="9"/>
      <c r="K608" s="9"/>
      <c r="L608" s="26"/>
      <c r="M608" s="26"/>
      <c r="N608" s="26"/>
    </row>
    <row r="609" ht="21.75" hidden="1" customHeight="1">
      <c r="A609" s="22" t="s">
        <v>1560</v>
      </c>
      <c r="B609" s="22" t="s">
        <v>1561</v>
      </c>
      <c r="C609" s="27"/>
      <c r="D609" s="3"/>
      <c r="E609" s="69">
        <v>35.0</v>
      </c>
      <c r="F609" s="29"/>
      <c r="G609" s="6"/>
      <c r="H609" s="7"/>
      <c r="I609" s="8"/>
      <c r="J609" s="9"/>
      <c r="K609" s="9"/>
      <c r="L609" s="26"/>
      <c r="M609" s="26"/>
      <c r="N609" s="26"/>
    </row>
    <row r="610" ht="21.75" hidden="1" customHeight="1">
      <c r="A610" s="22" t="s">
        <v>1562</v>
      </c>
      <c r="B610" s="27" t="s">
        <v>1563</v>
      </c>
      <c r="C610" s="27"/>
      <c r="D610" s="3"/>
      <c r="E610" s="69">
        <v>57.0</v>
      </c>
      <c r="F610" s="29"/>
      <c r="G610" s="6"/>
      <c r="H610" s="7"/>
      <c r="I610" s="8"/>
      <c r="J610" s="9"/>
      <c r="K610" s="9"/>
      <c r="L610" s="26"/>
      <c r="M610" s="26"/>
      <c r="N610" s="26"/>
    </row>
    <row r="611" ht="21.75" customHeight="1">
      <c r="A611" s="22" t="s">
        <v>1564</v>
      </c>
      <c r="B611" s="22" t="s">
        <v>1565</v>
      </c>
      <c r="C611" s="27" t="s">
        <v>1549</v>
      </c>
      <c r="D611" s="3"/>
      <c r="E611" s="69">
        <v>2323.0</v>
      </c>
      <c r="F611" s="29"/>
      <c r="G611" s="6">
        <v>20.0</v>
      </c>
      <c r="H611" s="7">
        <v>30.0</v>
      </c>
      <c r="I611" s="8"/>
      <c r="J611" s="9"/>
      <c r="K611" s="9"/>
      <c r="L611" s="26"/>
      <c r="M611" s="26"/>
      <c r="N611" s="26"/>
    </row>
    <row r="612" ht="21.75" hidden="1" customHeight="1">
      <c r="A612" s="22" t="s">
        <v>1566</v>
      </c>
      <c r="B612" s="22" t="s">
        <v>1567</v>
      </c>
      <c r="C612" s="27" t="s">
        <v>1549</v>
      </c>
      <c r="D612" s="3"/>
      <c r="E612" s="69"/>
      <c r="F612" s="29"/>
      <c r="G612" s="6"/>
      <c r="H612" s="7"/>
      <c r="I612" s="8"/>
      <c r="J612" s="9"/>
      <c r="K612" s="9"/>
      <c r="L612" s="26"/>
      <c r="M612" s="26"/>
      <c r="N612" s="26"/>
    </row>
    <row r="613" ht="21.75" hidden="1" customHeight="1">
      <c r="A613" s="22" t="s">
        <v>1568</v>
      </c>
      <c r="B613" s="22" t="s">
        <v>1569</v>
      </c>
      <c r="C613" s="27"/>
      <c r="D613" s="3"/>
      <c r="E613" s="69">
        <v>259.0</v>
      </c>
      <c r="F613" s="29"/>
      <c r="G613" s="6"/>
      <c r="H613" s="7"/>
      <c r="I613" s="8"/>
      <c r="J613" s="9"/>
      <c r="K613" s="9"/>
      <c r="L613" s="26"/>
      <c r="M613" s="26"/>
      <c r="N613" s="26"/>
    </row>
    <row r="614" ht="21.75" hidden="1" customHeight="1">
      <c r="A614" s="22" t="s">
        <v>1570</v>
      </c>
      <c r="B614" s="22" t="s">
        <v>1571</v>
      </c>
      <c r="C614" s="27"/>
      <c r="D614" s="3"/>
      <c r="E614" s="69">
        <v>100.0</v>
      </c>
      <c r="F614" s="29"/>
      <c r="G614" s="6"/>
      <c r="H614" s="7"/>
      <c r="I614" s="8"/>
      <c r="J614" s="9"/>
      <c r="K614" s="9"/>
      <c r="L614" s="26"/>
      <c r="M614" s="26"/>
      <c r="N614" s="26"/>
    </row>
    <row r="615" ht="21.75" hidden="1" customHeight="1">
      <c r="A615" s="22" t="s">
        <v>1572</v>
      </c>
      <c r="B615" s="22" t="s">
        <v>1573</v>
      </c>
      <c r="C615" s="27"/>
      <c r="D615" s="3"/>
      <c r="E615" s="69">
        <v>28.0</v>
      </c>
      <c r="F615" s="29"/>
      <c r="G615" s="6"/>
      <c r="H615" s="7"/>
      <c r="I615" s="8"/>
      <c r="J615" s="9"/>
      <c r="K615" s="9"/>
      <c r="L615" s="26"/>
      <c r="M615" s="26"/>
      <c r="N615" s="26"/>
    </row>
    <row r="616" ht="21.75" hidden="1" customHeight="1">
      <c r="A616" s="22" t="s">
        <v>1574</v>
      </c>
      <c r="B616" s="22" t="s">
        <v>1575</v>
      </c>
      <c r="C616" s="27"/>
      <c r="D616" s="3"/>
      <c r="E616" s="69">
        <v>144.0</v>
      </c>
      <c r="F616" s="29"/>
      <c r="G616" s="6"/>
      <c r="H616" s="7"/>
      <c r="I616" s="8"/>
      <c r="J616" s="9"/>
      <c r="K616" s="9"/>
      <c r="L616" s="26"/>
      <c r="M616" s="26"/>
      <c r="N616" s="26"/>
    </row>
    <row r="617" ht="21.75" hidden="1" customHeight="1">
      <c r="A617" s="22" t="s">
        <v>1576</v>
      </c>
      <c r="B617" s="22" t="s">
        <v>1577</v>
      </c>
      <c r="C617" s="27"/>
      <c r="D617" s="3"/>
      <c r="E617" s="69">
        <v>226.0</v>
      </c>
      <c r="F617" s="29"/>
      <c r="G617" s="6"/>
      <c r="H617" s="7"/>
      <c r="I617" s="8"/>
      <c r="J617" s="9"/>
      <c r="K617" s="9"/>
      <c r="L617" s="26"/>
      <c r="M617" s="26"/>
      <c r="N617" s="26"/>
    </row>
    <row r="618" ht="21.75" hidden="1" customHeight="1">
      <c r="A618" s="22" t="s">
        <v>1578</v>
      </c>
      <c r="B618" s="27" t="s">
        <v>1579</v>
      </c>
      <c r="C618" s="27"/>
      <c r="D618" s="3"/>
      <c r="E618" s="69"/>
      <c r="F618" s="29"/>
      <c r="G618" s="6">
        <v>165.0</v>
      </c>
      <c r="H618" s="7">
        <v>185.0</v>
      </c>
      <c r="I618" s="8">
        <v>190.0</v>
      </c>
      <c r="J618" s="9"/>
      <c r="K618" s="9"/>
      <c r="L618" s="26"/>
      <c r="M618" s="26"/>
      <c r="N618" s="26"/>
    </row>
    <row r="619" ht="21.75" customHeight="1">
      <c r="A619" s="22" t="s">
        <v>1580</v>
      </c>
      <c r="B619" s="27" t="s">
        <v>1581</v>
      </c>
      <c r="C619" s="27"/>
      <c r="D619" s="3"/>
      <c r="E619" s="69">
        <v>2195.0</v>
      </c>
      <c r="F619" s="29"/>
      <c r="G619" s="6">
        <v>175.0</v>
      </c>
      <c r="H619" s="7">
        <v>195.0</v>
      </c>
      <c r="I619" s="8">
        <v>200.0</v>
      </c>
      <c r="J619" s="9"/>
      <c r="K619" s="9"/>
      <c r="L619" s="26"/>
      <c r="M619" s="26"/>
      <c r="N619" s="26"/>
    </row>
    <row r="620" ht="21.75" customHeight="1">
      <c r="A620" s="22" t="s">
        <v>1582</v>
      </c>
      <c r="B620" s="22" t="s">
        <v>1583</v>
      </c>
      <c r="C620" s="27"/>
      <c r="D620" s="3"/>
      <c r="E620" s="69">
        <v>79.0</v>
      </c>
      <c r="F620" s="29"/>
      <c r="G620" s="6">
        <v>25.0</v>
      </c>
      <c r="H620" s="7">
        <v>35.0</v>
      </c>
      <c r="I620" s="8"/>
      <c r="J620" s="9">
        <v>30.0</v>
      </c>
      <c r="K620" s="9"/>
      <c r="L620" s="26"/>
      <c r="M620" s="26"/>
      <c r="N620" s="26"/>
    </row>
    <row r="621" ht="21.75" customHeight="1">
      <c r="A621" s="22" t="s">
        <v>1584</v>
      </c>
      <c r="B621" s="27" t="s">
        <v>1585</v>
      </c>
      <c r="C621" s="27"/>
      <c r="D621" s="3"/>
      <c r="E621" s="69">
        <v>5098.0</v>
      </c>
      <c r="F621" s="29"/>
      <c r="G621" s="6">
        <v>25.0</v>
      </c>
      <c r="H621" s="7">
        <v>35.0</v>
      </c>
      <c r="I621" s="8"/>
      <c r="J621" s="9"/>
      <c r="K621" s="9"/>
      <c r="L621" s="26"/>
      <c r="M621" s="26"/>
      <c r="N621" s="26"/>
    </row>
    <row r="622" ht="21.75" hidden="1" customHeight="1">
      <c r="A622" s="130" t="s">
        <v>1586</v>
      </c>
      <c r="B622" s="130" t="s">
        <v>1587</v>
      </c>
      <c r="C622" s="130" t="s">
        <v>1549</v>
      </c>
      <c r="D622" s="81"/>
      <c r="E622" s="101"/>
      <c r="F622" s="102"/>
      <c r="G622" s="8"/>
      <c r="H622" s="28"/>
      <c r="I622" s="8"/>
      <c r="J622" s="8"/>
      <c r="K622" s="8"/>
      <c r="L622" s="131"/>
      <c r="M622" s="131"/>
      <c r="N622" s="131"/>
    </row>
    <row r="623" ht="21.75" hidden="1" customHeight="1">
      <c r="A623" s="22" t="s">
        <v>1588</v>
      </c>
      <c r="B623" s="22" t="s">
        <v>1589</v>
      </c>
      <c r="C623" s="27" t="s">
        <v>1549</v>
      </c>
      <c r="D623" s="3"/>
      <c r="E623" s="69"/>
      <c r="F623" s="29"/>
      <c r="G623" s="6"/>
      <c r="H623" s="7"/>
      <c r="I623" s="8"/>
      <c r="J623" s="9"/>
      <c r="K623" s="9"/>
      <c r="L623" s="26"/>
      <c r="M623" s="26"/>
      <c r="N623" s="26"/>
    </row>
    <row r="624" ht="21.75" hidden="1" customHeight="1">
      <c r="A624" s="22" t="s">
        <v>1590</v>
      </c>
      <c r="B624" s="22" t="s">
        <v>1591</v>
      </c>
      <c r="C624" s="27"/>
      <c r="D624" s="3"/>
      <c r="E624" s="69">
        <v>7.0</v>
      </c>
      <c r="F624" s="29"/>
      <c r="G624" s="6"/>
      <c r="H624" s="7"/>
      <c r="I624" s="8"/>
      <c r="J624" s="9"/>
      <c r="K624" s="9"/>
      <c r="L624" s="26"/>
      <c r="M624" s="26"/>
      <c r="N624" s="26"/>
    </row>
    <row r="625" ht="21.75" hidden="1" customHeight="1">
      <c r="A625" s="22" t="s">
        <v>1592</v>
      </c>
      <c r="B625" s="22" t="s">
        <v>1593</v>
      </c>
      <c r="C625" s="27"/>
      <c r="D625" s="3"/>
      <c r="E625" s="69">
        <v>18.0</v>
      </c>
      <c r="F625" s="29"/>
      <c r="G625" s="6"/>
      <c r="H625" s="37"/>
      <c r="I625" s="8"/>
      <c r="J625" s="9"/>
      <c r="K625" s="9"/>
      <c r="L625" s="26"/>
      <c r="M625" s="26"/>
      <c r="N625" s="26"/>
    </row>
    <row r="626" ht="21.75" hidden="1" customHeight="1">
      <c r="A626" s="22" t="s">
        <v>1594</v>
      </c>
      <c r="B626" s="22" t="s">
        <v>1595</v>
      </c>
      <c r="C626" s="27"/>
      <c r="D626" s="3"/>
      <c r="E626" s="69">
        <v>82.0</v>
      </c>
      <c r="F626" s="29"/>
      <c r="G626" s="6"/>
      <c r="H626" s="7"/>
      <c r="I626" s="8"/>
      <c r="J626" s="9"/>
      <c r="K626" s="9"/>
      <c r="L626" s="26"/>
      <c r="M626" s="26"/>
      <c r="N626" s="26"/>
    </row>
    <row r="627" ht="21.75" hidden="1" customHeight="1">
      <c r="A627" s="22" t="s">
        <v>1596</v>
      </c>
      <c r="B627" s="22" t="s">
        <v>1597</v>
      </c>
      <c r="C627" s="27"/>
      <c r="D627" s="3"/>
      <c r="E627" s="69">
        <v>80.0</v>
      </c>
      <c r="F627" s="29"/>
      <c r="G627" s="6"/>
      <c r="H627" s="7"/>
      <c r="I627" s="8"/>
      <c r="J627" s="9"/>
      <c r="K627" s="9"/>
      <c r="L627" s="26"/>
      <c r="M627" s="26"/>
      <c r="N627" s="26"/>
    </row>
    <row r="628" ht="21.75" hidden="1" customHeight="1">
      <c r="A628" s="22" t="s">
        <v>1598</v>
      </c>
      <c r="B628" s="22" t="s">
        <v>1599</v>
      </c>
      <c r="C628" s="27"/>
      <c r="D628" s="3"/>
      <c r="E628" s="69">
        <v>283.0</v>
      </c>
      <c r="F628" s="29"/>
      <c r="G628" s="6"/>
      <c r="H628" s="7"/>
      <c r="I628" s="8"/>
      <c r="J628" s="9"/>
      <c r="K628" s="9"/>
      <c r="L628" s="26"/>
      <c r="M628" s="26"/>
      <c r="N628" s="26"/>
    </row>
    <row r="629" ht="21.75" hidden="1" customHeight="1">
      <c r="A629" s="22" t="s">
        <v>1600</v>
      </c>
      <c r="B629" s="22" t="s">
        <v>1601</v>
      </c>
      <c r="C629" s="27"/>
      <c r="D629" s="3"/>
      <c r="E629" s="69">
        <v>124.0</v>
      </c>
      <c r="F629" s="29"/>
      <c r="G629" s="6"/>
      <c r="H629" s="7"/>
      <c r="I629" s="8"/>
      <c r="J629" s="9"/>
      <c r="K629" s="9"/>
      <c r="L629" s="26"/>
      <c r="M629" s="26"/>
      <c r="N629" s="26"/>
    </row>
    <row r="630" ht="21.75" hidden="1" customHeight="1">
      <c r="A630" s="22" t="s">
        <v>1602</v>
      </c>
      <c r="B630" s="22" t="s">
        <v>1603</v>
      </c>
      <c r="C630" s="27"/>
      <c r="D630" s="3"/>
      <c r="E630" s="69">
        <v>18.0</v>
      </c>
      <c r="F630" s="29"/>
      <c r="G630" s="6"/>
      <c r="H630" s="7"/>
      <c r="I630" s="8"/>
      <c r="J630" s="9"/>
      <c r="K630" s="9"/>
      <c r="L630" s="26"/>
      <c r="M630" s="26"/>
      <c r="N630" s="26"/>
    </row>
    <row r="631" ht="21.75" hidden="1" customHeight="1">
      <c r="A631" s="22" t="s">
        <v>1604</v>
      </c>
      <c r="B631" s="22" t="s">
        <v>1605</v>
      </c>
      <c r="C631" s="27"/>
      <c r="D631" s="3"/>
      <c r="E631" s="69">
        <v>216.0</v>
      </c>
      <c r="F631" s="29"/>
      <c r="G631" s="6"/>
      <c r="H631" s="7"/>
      <c r="I631" s="8"/>
      <c r="J631" s="9"/>
      <c r="K631" s="9"/>
      <c r="L631" s="26"/>
      <c r="M631" s="26"/>
      <c r="N631" s="26"/>
    </row>
    <row r="632" ht="21.75" hidden="1" customHeight="1">
      <c r="A632" s="22" t="s">
        <v>1606</v>
      </c>
      <c r="B632" s="22" t="s">
        <v>1607</v>
      </c>
      <c r="C632" s="27"/>
      <c r="D632" s="3"/>
      <c r="E632" s="69">
        <v>10.0</v>
      </c>
      <c r="F632" s="29"/>
      <c r="G632" s="6"/>
      <c r="H632" s="7"/>
      <c r="I632" s="8"/>
      <c r="J632" s="9"/>
      <c r="K632" s="9"/>
      <c r="L632" s="26"/>
      <c r="M632" s="26"/>
      <c r="N632" s="26"/>
    </row>
    <row r="633" ht="21.75" hidden="1" customHeight="1">
      <c r="A633" s="22" t="s">
        <v>1608</v>
      </c>
      <c r="B633" s="22" t="s">
        <v>1609</v>
      </c>
      <c r="C633" s="27"/>
      <c r="D633" s="3"/>
      <c r="E633" s="69">
        <v>66.0</v>
      </c>
      <c r="F633" s="29"/>
      <c r="G633" s="6"/>
      <c r="H633" s="7"/>
      <c r="I633" s="8"/>
      <c r="J633" s="9"/>
      <c r="K633" s="9"/>
      <c r="L633" s="26"/>
      <c r="M633" s="26"/>
      <c r="N633" s="26"/>
    </row>
    <row r="634" ht="21.75" hidden="1" customHeight="1">
      <c r="A634" s="22" t="s">
        <v>1610</v>
      </c>
      <c r="B634" s="22" t="s">
        <v>1611</v>
      </c>
      <c r="C634" s="27" t="s">
        <v>1612</v>
      </c>
      <c r="D634" s="3"/>
      <c r="E634" s="69">
        <v>12.0</v>
      </c>
      <c r="F634" s="29"/>
      <c r="G634" s="6"/>
      <c r="H634" s="7"/>
      <c r="I634" s="8"/>
      <c r="J634" s="9"/>
      <c r="K634" s="9"/>
      <c r="L634" s="26"/>
      <c r="M634" s="26"/>
      <c r="N634" s="26"/>
    </row>
    <row r="635" ht="21.75" hidden="1" customHeight="1">
      <c r="A635" s="22" t="s">
        <v>1613</v>
      </c>
      <c r="B635" s="22" t="s">
        <v>1614</v>
      </c>
      <c r="C635" s="27"/>
      <c r="D635" s="3"/>
      <c r="E635" s="69"/>
      <c r="F635" s="29"/>
      <c r="G635" s="6"/>
      <c r="H635" s="7"/>
      <c r="I635" s="8"/>
      <c r="J635" s="9"/>
      <c r="K635" s="9"/>
      <c r="L635" s="26"/>
      <c r="M635" s="26"/>
      <c r="N635" s="26"/>
    </row>
    <row r="636" ht="21.75" hidden="1" customHeight="1">
      <c r="A636" s="22" t="s">
        <v>1615</v>
      </c>
      <c r="B636" s="27" t="s">
        <v>1616</v>
      </c>
      <c r="C636" s="27" t="s">
        <v>1612</v>
      </c>
      <c r="D636" s="3"/>
      <c r="E636" s="69">
        <v>18.0</v>
      </c>
      <c r="F636" s="29"/>
      <c r="G636" s="6"/>
      <c r="H636" s="7"/>
      <c r="I636" s="8"/>
      <c r="J636" s="9"/>
      <c r="K636" s="9"/>
      <c r="L636" s="26"/>
      <c r="M636" s="26"/>
      <c r="N636" s="26"/>
    </row>
    <row r="637" ht="21.75" hidden="1" customHeight="1">
      <c r="A637" s="22" t="s">
        <v>1617</v>
      </c>
      <c r="B637" s="22" t="s">
        <v>1618</v>
      </c>
      <c r="C637" s="27"/>
      <c r="D637" s="3"/>
      <c r="E637" s="69">
        <v>325.0</v>
      </c>
      <c r="F637" s="29"/>
      <c r="G637" s="6"/>
      <c r="H637" s="7"/>
      <c r="I637" s="8"/>
      <c r="J637" s="9"/>
      <c r="K637" s="9"/>
      <c r="L637" s="26"/>
      <c r="M637" s="26"/>
      <c r="N637" s="26"/>
    </row>
    <row r="638" ht="21.75" hidden="1" customHeight="1">
      <c r="A638" s="22" t="s">
        <v>1619</v>
      </c>
      <c r="B638" s="22" t="s">
        <v>1620</v>
      </c>
      <c r="C638" s="27"/>
      <c r="D638" s="3"/>
      <c r="E638" s="69">
        <v>1059.0</v>
      </c>
      <c r="F638" s="29"/>
      <c r="G638" s="6"/>
      <c r="H638" s="7"/>
      <c r="I638" s="8"/>
      <c r="J638" s="9"/>
      <c r="K638" s="9"/>
      <c r="L638" s="26"/>
      <c r="M638" s="26"/>
      <c r="N638" s="26"/>
    </row>
    <row r="639" ht="21.75" hidden="1" customHeight="1">
      <c r="A639" s="22" t="s">
        <v>1621</v>
      </c>
      <c r="B639" s="22" t="s">
        <v>1622</v>
      </c>
      <c r="C639" s="27" t="s">
        <v>1623</v>
      </c>
      <c r="D639" s="3"/>
      <c r="E639" s="69"/>
      <c r="F639" s="29"/>
      <c r="G639" s="6">
        <v>45.0</v>
      </c>
      <c r="H639" s="7"/>
      <c r="I639" s="8"/>
      <c r="J639" s="9"/>
      <c r="K639" s="9"/>
      <c r="L639" s="26"/>
      <c r="M639" s="26"/>
      <c r="N639" s="26"/>
    </row>
    <row r="640" ht="21.75" hidden="1" customHeight="1">
      <c r="A640" s="22" t="s">
        <v>1624</v>
      </c>
      <c r="B640" s="22" t="s">
        <v>1625</v>
      </c>
      <c r="C640" s="27"/>
      <c r="D640" s="3"/>
      <c r="E640" s="69">
        <v>448.0</v>
      </c>
      <c r="F640" s="29"/>
      <c r="G640" s="6"/>
      <c r="H640" s="7"/>
      <c r="I640" s="8"/>
      <c r="J640" s="9"/>
      <c r="K640" s="9"/>
      <c r="L640" s="26"/>
      <c r="M640" s="26"/>
      <c r="N640" s="26"/>
    </row>
    <row r="641" ht="21.75" hidden="1" customHeight="1">
      <c r="A641" s="22" t="s">
        <v>1626</v>
      </c>
      <c r="B641" s="22" t="s">
        <v>1627</v>
      </c>
      <c r="C641" s="27"/>
      <c r="D641" s="3"/>
      <c r="E641" s="69">
        <v>14.0</v>
      </c>
      <c r="F641" s="29"/>
      <c r="G641" s="6"/>
      <c r="H641" s="7"/>
      <c r="I641" s="8"/>
      <c r="J641" s="9"/>
      <c r="K641" s="9"/>
      <c r="L641" s="26"/>
      <c r="M641" s="26"/>
      <c r="N641" s="26"/>
    </row>
    <row r="642" ht="21.75" hidden="1" customHeight="1">
      <c r="A642" s="22" t="s">
        <v>1628</v>
      </c>
      <c r="B642" s="22" t="s">
        <v>1629</v>
      </c>
      <c r="C642" s="27"/>
      <c r="D642" s="3"/>
      <c r="E642" s="69">
        <v>152.0</v>
      </c>
      <c r="F642" s="29"/>
      <c r="G642" s="6"/>
      <c r="H642" s="7"/>
      <c r="I642" s="8"/>
      <c r="J642" s="9"/>
      <c r="K642" s="9"/>
      <c r="L642" s="26"/>
      <c r="M642" s="26"/>
      <c r="N642" s="26"/>
    </row>
    <row r="643" ht="21.75" hidden="1" customHeight="1">
      <c r="A643" s="22" t="s">
        <v>1630</v>
      </c>
      <c r="B643" s="22" t="s">
        <v>1631</v>
      </c>
      <c r="C643" s="27"/>
      <c r="D643" s="3"/>
      <c r="E643" s="69">
        <v>1.0</v>
      </c>
      <c r="F643" s="29"/>
      <c r="G643" s="6"/>
      <c r="H643" s="7"/>
      <c r="I643" s="8"/>
      <c r="J643" s="9"/>
      <c r="K643" s="9"/>
      <c r="L643" s="26"/>
      <c r="M643" s="26"/>
      <c r="N643" s="26"/>
    </row>
    <row r="644" ht="21.75" customHeight="1">
      <c r="A644" s="22" t="s">
        <v>1632</v>
      </c>
      <c r="B644" s="22" t="s">
        <v>1633</v>
      </c>
      <c r="C644" s="27"/>
      <c r="D644" s="3"/>
      <c r="E644" s="69">
        <v>3341.0</v>
      </c>
      <c r="F644" s="29"/>
      <c r="G644" s="6">
        <v>23.0</v>
      </c>
      <c r="H644" s="7">
        <v>26.0</v>
      </c>
      <c r="I644" s="8"/>
      <c r="J644" s="9"/>
      <c r="K644" s="9"/>
      <c r="L644" s="26"/>
      <c r="M644" s="26"/>
      <c r="N644" s="26"/>
    </row>
    <row r="645" ht="21.75" customHeight="1">
      <c r="A645" s="22" t="s">
        <v>1634</v>
      </c>
      <c r="B645" s="22" t="s">
        <v>1635</v>
      </c>
      <c r="C645" s="27"/>
      <c r="D645" s="3"/>
      <c r="E645" s="69">
        <v>3480.0</v>
      </c>
      <c r="F645" s="29"/>
      <c r="G645" s="6">
        <v>19.0</v>
      </c>
      <c r="H645" s="7">
        <v>22.0</v>
      </c>
      <c r="I645" s="8"/>
      <c r="J645" s="9"/>
      <c r="K645" s="9"/>
      <c r="L645" s="26"/>
      <c r="M645" s="26"/>
      <c r="N645" s="26"/>
    </row>
    <row r="646" ht="21.75" customHeight="1">
      <c r="A646" s="22" t="s">
        <v>1636</v>
      </c>
      <c r="B646" s="27" t="s">
        <v>1637</v>
      </c>
      <c r="C646" s="27"/>
      <c r="D646" s="3"/>
      <c r="E646" s="69">
        <v>420.0</v>
      </c>
      <c r="F646" s="29"/>
      <c r="G646" s="6">
        <v>50.0</v>
      </c>
      <c r="H646" s="7"/>
      <c r="I646" s="8"/>
      <c r="J646" s="9"/>
      <c r="K646" s="9"/>
      <c r="L646" s="26"/>
      <c r="M646" s="26"/>
      <c r="N646" s="26"/>
    </row>
    <row r="647" ht="21.75" hidden="1" customHeight="1">
      <c r="A647" s="22" t="s">
        <v>1638</v>
      </c>
      <c r="B647" s="22" t="s">
        <v>1639</v>
      </c>
      <c r="C647" s="27"/>
      <c r="D647" s="3"/>
      <c r="E647" s="69">
        <v>331.0</v>
      </c>
      <c r="F647" s="29"/>
      <c r="G647" s="6"/>
      <c r="H647" s="7"/>
      <c r="I647" s="8"/>
      <c r="J647" s="9"/>
      <c r="K647" s="9"/>
      <c r="L647" s="26"/>
      <c r="M647" s="26"/>
      <c r="N647" s="26"/>
    </row>
    <row r="648" ht="21.75" hidden="1" customHeight="1">
      <c r="A648" s="22" t="s">
        <v>1640</v>
      </c>
      <c r="B648" s="22" t="s">
        <v>1641</v>
      </c>
      <c r="C648" s="27"/>
      <c r="D648" s="3"/>
      <c r="E648" s="69">
        <v>122.0</v>
      </c>
      <c r="F648" s="29"/>
      <c r="G648" s="6"/>
      <c r="H648" s="7"/>
      <c r="I648" s="8"/>
      <c r="J648" s="9"/>
      <c r="K648" s="9"/>
      <c r="L648" s="26"/>
      <c r="M648" s="26"/>
      <c r="N648" s="26"/>
    </row>
    <row r="649" ht="21.75" hidden="1" customHeight="1">
      <c r="A649" s="22" t="s">
        <v>1642</v>
      </c>
      <c r="B649" s="22" t="s">
        <v>1643</v>
      </c>
      <c r="C649" s="27"/>
      <c r="D649" s="3"/>
      <c r="E649" s="69">
        <v>104.0</v>
      </c>
      <c r="F649" s="29"/>
      <c r="G649" s="6"/>
      <c r="H649" s="7"/>
      <c r="I649" s="8"/>
      <c r="J649" s="9"/>
      <c r="K649" s="9"/>
      <c r="L649" s="26"/>
      <c r="M649" s="26"/>
      <c r="N649" s="26"/>
    </row>
    <row r="650" ht="21.75" hidden="1" customHeight="1">
      <c r="A650" s="22" t="s">
        <v>1644</v>
      </c>
      <c r="B650" s="22" t="s">
        <v>1645</v>
      </c>
      <c r="C650" s="27"/>
      <c r="D650" s="3"/>
      <c r="E650" s="69">
        <v>12.0</v>
      </c>
      <c r="F650" s="29"/>
      <c r="G650" s="6"/>
      <c r="H650" s="7"/>
      <c r="I650" s="8"/>
      <c r="J650" s="9"/>
      <c r="K650" s="9"/>
      <c r="L650" s="26"/>
      <c r="M650" s="26"/>
      <c r="N650" s="26"/>
    </row>
    <row r="651" ht="21.75" hidden="1" customHeight="1">
      <c r="A651" s="22" t="s">
        <v>1646</v>
      </c>
      <c r="B651" s="22" t="s">
        <v>1647</v>
      </c>
      <c r="C651" s="27"/>
      <c r="D651" s="3"/>
      <c r="E651" s="69">
        <v>346.0</v>
      </c>
      <c r="F651" s="29"/>
      <c r="G651" s="6"/>
      <c r="H651" s="7"/>
      <c r="I651" s="8"/>
      <c r="J651" s="9"/>
      <c r="K651" s="9"/>
      <c r="L651" s="26"/>
      <c r="M651" s="26"/>
      <c r="N651" s="26"/>
    </row>
    <row r="652" ht="21.75" hidden="1" customHeight="1">
      <c r="A652" s="22" t="s">
        <v>1648</v>
      </c>
      <c r="B652" s="22" t="s">
        <v>1649</v>
      </c>
      <c r="C652" s="27"/>
      <c r="D652" s="3"/>
      <c r="E652" s="69">
        <v>13.0</v>
      </c>
      <c r="F652" s="29"/>
      <c r="G652" s="6"/>
      <c r="H652" s="7"/>
      <c r="I652" s="8"/>
      <c r="J652" s="9"/>
      <c r="K652" s="9"/>
      <c r="L652" s="26"/>
      <c r="M652" s="26"/>
      <c r="N652" s="26"/>
    </row>
    <row r="653" ht="21.75" hidden="1" customHeight="1">
      <c r="A653" s="22" t="s">
        <v>1650</v>
      </c>
      <c r="B653" s="22" t="s">
        <v>1651</v>
      </c>
      <c r="C653" s="27"/>
      <c r="D653" s="3"/>
      <c r="E653" s="69">
        <v>27.0</v>
      </c>
      <c r="F653" s="29"/>
      <c r="G653" s="6"/>
      <c r="H653" s="7"/>
      <c r="I653" s="8"/>
      <c r="J653" s="9"/>
      <c r="K653" s="9"/>
      <c r="L653" s="26"/>
      <c r="M653" s="26"/>
      <c r="N653" s="26"/>
    </row>
    <row r="654" ht="21.75" hidden="1" customHeight="1">
      <c r="A654" s="22" t="s">
        <v>1652</v>
      </c>
      <c r="B654" s="22" t="s">
        <v>1653</v>
      </c>
      <c r="C654" s="27"/>
      <c r="D654" s="3"/>
      <c r="E654" s="69">
        <v>58.0</v>
      </c>
      <c r="F654" s="29"/>
      <c r="G654" s="6"/>
      <c r="H654" s="7"/>
      <c r="I654" s="8"/>
      <c r="J654" s="9"/>
      <c r="K654" s="9"/>
      <c r="L654" s="26"/>
      <c r="M654" s="26"/>
      <c r="N654" s="26"/>
    </row>
    <row r="655" ht="21.75" hidden="1" customHeight="1">
      <c r="A655" s="22" t="s">
        <v>1654</v>
      </c>
      <c r="B655" s="22" t="s">
        <v>1655</v>
      </c>
      <c r="C655" s="27"/>
      <c r="D655" s="3"/>
      <c r="E655" s="69">
        <v>19.0</v>
      </c>
      <c r="F655" s="29"/>
      <c r="G655" s="6"/>
      <c r="H655" s="7"/>
      <c r="I655" s="8"/>
      <c r="J655" s="9"/>
      <c r="K655" s="9"/>
      <c r="L655" s="26"/>
      <c r="M655" s="26"/>
      <c r="N655" s="26"/>
    </row>
    <row r="656" ht="21.75" hidden="1" customHeight="1">
      <c r="A656" s="22" t="s">
        <v>1656</v>
      </c>
      <c r="B656" s="22" t="s">
        <v>1657</v>
      </c>
      <c r="C656" s="27"/>
      <c r="D656" s="3"/>
      <c r="E656" s="69">
        <v>131.0</v>
      </c>
      <c r="F656" s="29"/>
      <c r="G656" s="6"/>
      <c r="H656" s="7"/>
      <c r="I656" s="8"/>
      <c r="J656" s="9"/>
      <c r="K656" s="9"/>
      <c r="L656" s="26"/>
      <c r="M656" s="26"/>
      <c r="N656" s="26"/>
    </row>
    <row r="657" ht="21.75" customHeight="1">
      <c r="A657" s="22" t="s">
        <v>1658</v>
      </c>
      <c r="B657" s="22" t="s">
        <v>1659</v>
      </c>
      <c r="C657" s="27" t="s">
        <v>1660</v>
      </c>
      <c r="D657" s="3" t="s">
        <v>1661</v>
      </c>
      <c r="E657" s="69">
        <v>595.0</v>
      </c>
      <c r="F657" s="29"/>
      <c r="G657" s="6">
        <v>20.0</v>
      </c>
      <c r="H657" s="7"/>
      <c r="I657" s="8"/>
      <c r="J657" s="9"/>
      <c r="K657" s="9"/>
      <c r="L657" s="26"/>
      <c r="M657" s="26"/>
      <c r="N657" s="26"/>
    </row>
    <row r="658" ht="21.75" hidden="1" customHeight="1">
      <c r="A658" s="22" t="s">
        <v>1662</v>
      </c>
      <c r="B658" s="22" t="s">
        <v>1659</v>
      </c>
      <c r="C658" s="27"/>
      <c r="D658" s="3"/>
      <c r="E658" s="69">
        <v>100.0</v>
      </c>
      <c r="F658" s="29"/>
      <c r="G658" s="6"/>
      <c r="H658" s="7"/>
      <c r="I658" s="8"/>
      <c r="J658" s="9"/>
      <c r="K658" s="9"/>
      <c r="L658" s="26"/>
      <c r="M658" s="26"/>
      <c r="N658" s="26"/>
    </row>
    <row r="659" ht="21.75" hidden="1" customHeight="1">
      <c r="A659" s="22" t="s">
        <v>198</v>
      </c>
      <c r="B659" s="22" t="s">
        <v>1663</v>
      </c>
      <c r="C659" s="27"/>
      <c r="D659" s="3"/>
      <c r="E659" s="69">
        <v>41.0</v>
      </c>
      <c r="F659" s="29"/>
      <c r="G659" s="6"/>
      <c r="H659" s="7"/>
      <c r="I659" s="8"/>
      <c r="J659" s="9"/>
      <c r="K659" s="9"/>
      <c r="L659" s="26"/>
      <c r="M659" s="26"/>
      <c r="N659" s="26"/>
    </row>
    <row r="660" ht="21.75" hidden="1" customHeight="1">
      <c r="A660" s="22" t="s">
        <v>1664</v>
      </c>
      <c r="B660" s="22" t="s">
        <v>1665</v>
      </c>
      <c r="C660" s="27"/>
      <c r="D660" s="3"/>
      <c r="E660" s="69">
        <v>54.0</v>
      </c>
      <c r="F660" s="29"/>
      <c r="G660" s="6"/>
      <c r="H660" s="7"/>
      <c r="I660" s="8"/>
      <c r="J660" s="9"/>
      <c r="K660" s="9"/>
      <c r="L660" s="26"/>
      <c r="M660" s="26"/>
      <c r="N660" s="26"/>
    </row>
    <row r="661" ht="21.75" hidden="1" customHeight="1">
      <c r="A661" s="22" t="s">
        <v>1666</v>
      </c>
      <c r="B661" s="22" t="s">
        <v>1667</v>
      </c>
      <c r="C661" s="27"/>
      <c r="D661" s="3"/>
      <c r="E661" s="69">
        <v>10.0</v>
      </c>
      <c r="F661" s="29"/>
      <c r="G661" s="6"/>
      <c r="H661" s="7"/>
      <c r="I661" s="8"/>
      <c r="J661" s="9"/>
      <c r="K661" s="9"/>
      <c r="L661" s="26"/>
      <c r="M661" s="26"/>
      <c r="N661" s="26"/>
    </row>
    <row r="662" ht="21.75" hidden="1" customHeight="1">
      <c r="A662" s="22" t="s">
        <v>1668</v>
      </c>
      <c r="B662" s="22" t="s">
        <v>1669</v>
      </c>
      <c r="C662" s="27"/>
      <c r="D662" s="3"/>
      <c r="E662" s="69"/>
      <c r="F662" s="29"/>
      <c r="G662" s="6"/>
      <c r="H662" s="7"/>
      <c r="I662" s="8"/>
      <c r="J662" s="9"/>
      <c r="K662" s="9"/>
      <c r="L662" s="26"/>
      <c r="M662" s="26"/>
      <c r="N662" s="26"/>
    </row>
    <row r="663" ht="21.75" hidden="1" customHeight="1">
      <c r="A663" s="27" t="s">
        <v>1670</v>
      </c>
      <c r="B663" s="27" t="s">
        <v>1671</v>
      </c>
      <c r="C663" s="27"/>
      <c r="D663" s="3"/>
      <c r="E663" s="4">
        <v>15.0</v>
      </c>
      <c r="F663" s="5"/>
      <c r="G663" s="6"/>
      <c r="H663" s="7"/>
      <c r="I663" s="8"/>
      <c r="J663" s="9"/>
      <c r="K663" s="9"/>
      <c r="L663" s="26"/>
      <c r="M663" s="26"/>
      <c r="N663" s="26"/>
    </row>
    <row r="664" ht="21.75" hidden="1" customHeight="1">
      <c r="A664" s="27" t="s">
        <v>1672</v>
      </c>
      <c r="B664" s="27" t="s">
        <v>1673</v>
      </c>
      <c r="C664" s="27"/>
      <c r="D664" s="3"/>
      <c r="E664" s="4">
        <v>849.0</v>
      </c>
      <c r="F664" s="5"/>
      <c r="G664" s="6"/>
      <c r="H664" s="7"/>
      <c r="I664" s="8"/>
      <c r="J664" s="9"/>
      <c r="K664" s="9"/>
      <c r="L664" s="26"/>
      <c r="M664" s="26"/>
      <c r="N664" s="26"/>
    </row>
    <row r="665" ht="21.75" hidden="1" customHeight="1">
      <c r="A665" s="27" t="s">
        <v>1674</v>
      </c>
      <c r="B665" s="27" t="s">
        <v>1675</v>
      </c>
      <c r="C665" s="27"/>
      <c r="D665" s="3"/>
      <c r="E665" s="4">
        <v>7.0</v>
      </c>
      <c r="F665" s="5"/>
      <c r="G665" s="6"/>
      <c r="H665" s="7"/>
      <c r="I665" s="8"/>
      <c r="J665" s="9"/>
      <c r="K665" s="9"/>
      <c r="L665" s="26"/>
      <c r="M665" s="26"/>
      <c r="N665" s="26"/>
    </row>
    <row r="666" ht="21.75" hidden="1" customHeight="1">
      <c r="A666" s="27" t="s">
        <v>1676</v>
      </c>
      <c r="B666" s="27" t="s">
        <v>1677</v>
      </c>
      <c r="C666" s="27"/>
      <c r="D666" s="3"/>
      <c r="E666" s="4">
        <v>6.0</v>
      </c>
      <c r="F666" s="5"/>
      <c r="G666" s="6"/>
      <c r="H666" s="7"/>
      <c r="I666" s="8"/>
      <c r="J666" s="9"/>
      <c r="K666" s="9"/>
      <c r="L666" s="26"/>
      <c r="M666" s="26"/>
      <c r="N666" s="26"/>
    </row>
    <row r="667" ht="21.75" hidden="1" customHeight="1">
      <c r="A667" s="27" t="s">
        <v>1678</v>
      </c>
      <c r="B667" s="27" t="s">
        <v>1679</v>
      </c>
      <c r="C667" s="27"/>
      <c r="D667" s="3"/>
      <c r="E667" s="4"/>
      <c r="F667" s="5"/>
      <c r="G667" s="6"/>
      <c r="H667" s="7"/>
      <c r="I667" s="8"/>
      <c r="J667" s="9"/>
      <c r="K667" s="9"/>
      <c r="L667" s="26"/>
      <c r="M667" s="26"/>
      <c r="N667" s="26"/>
    </row>
    <row r="668" ht="21.75" hidden="1" customHeight="1">
      <c r="A668" s="27" t="s">
        <v>1680</v>
      </c>
      <c r="B668" s="27" t="s">
        <v>1681</v>
      </c>
      <c r="C668" s="27"/>
      <c r="D668" s="3"/>
      <c r="E668" s="4">
        <v>28.0</v>
      </c>
      <c r="F668" s="5"/>
      <c r="G668" s="6"/>
      <c r="H668" s="7"/>
      <c r="I668" s="8"/>
      <c r="J668" s="9"/>
      <c r="K668" s="9"/>
      <c r="L668" s="26"/>
      <c r="M668" s="26"/>
      <c r="N668" s="26"/>
    </row>
    <row r="669" ht="21.75" hidden="1" customHeight="1">
      <c r="A669" s="27" t="s">
        <v>1682</v>
      </c>
      <c r="B669" s="27" t="s">
        <v>1683</v>
      </c>
      <c r="C669" s="27"/>
      <c r="D669" s="3"/>
      <c r="E669" s="4"/>
      <c r="F669" s="5"/>
      <c r="G669" s="6"/>
      <c r="H669" s="7"/>
      <c r="I669" s="8"/>
      <c r="J669" s="9"/>
      <c r="K669" s="9"/>
      <c r="L669" s="26"/>
      <c r="M669" s="26"/>
      <c r="N669" s="26"/>
    </row>
    <row r="670" ht="21.75" hidden="1" customHeight="1">
      <c r="A670" s="27" t="s">
        <v>1684</v>
      </c>
      <c r="B670" s="27" t="s">
        <v>1685</v>
      </c>
      <c r="C670" s="27"/>
      <c r="D670" s="3"/>
      <c r="E670" s="4">
        <v>9.0</v>
      </c>
      <c r="F670" s="5"/>
      <c r="G670" s="6"/>
      <c r="H670" s="7"/>
      <c r="I670" s="8"/>
      <c r="J670" s="9"/>
      <c r="K670" s="9"/>
      <c r="L670" s="26"/>
      <c r="M670" s="26"/>
      <c r="N670" s="26"/>
    </row>
    <row r="671" ht="21.75" hidden="1" customHeight="1">
      <c r="A671" s="27" t="s">
        <v>1686</v>
      </c>
      <c r="B671" s="27" t="s">
        <v>1687</v>
      </c>
      <c r="C671" s="27"/>
      <c r="D671" s="3"/>
      <c r="E671" s="4">
        <v>71.0</v>
      </c>
      <c r="F671" s="5"/>
      <c r="G671" s="6"/>
      <c r="H671" s="7"/>
      <c r="I671" s="8"/>
      <c r="J671" s="9"/>
      <c r="K671" s="9"/>
      <c r="L671" s="26"/>
      <c r="M671" s="26"/>
      <c r="N671" s="26"/>
    </row>
    <row r="672" ht="21.75" hidden="1" customHeight="1">
      <c r="A672" s="27" t="s">
        <v>1688</v>
      </c>
      <c r="B672" s="27" t="s">
        <v>1689</v>
      </c>
      <c r="C672" s="27"/>
      <c r="D672" s="3"/>
      <c r="E672" s="4">
        <v>380.0</v>
      </c>
      <c r="F672" s="5"/>
      <c r="G672" s="6"/>
      <c r="H672" s="7"/>
      <c r="I672" s="8"/>
      <c r="J672" s="9"/>
      <c r="K672" s="9"/>
      <c r="L672" s="26"/>
      <c r="M672" s="26"/>
      <c r="N672" s="26"/>
    </row>
    <row r="673" ht="29.25" hidden="1" customHeight="1">
      <c r="A673" s="132"/>
      <c r="B673" s="132"/>
      <c r="C673" s="132"/>
      <c r="D673" s="133"/>
      <c r="E673" s="134"/>
      <c r="F673" s="135"/>
      <c r="G673" s="136"/>
      <c r="H673" s="137"/>
      <c r="I673" s="136"/>
      <c r="J673" s="136"/>
      <c r="K673" s="136"/>
      <c r="L673" s="138"/>
      <c r="M673" s="138"/>
      <c r="N673" s="138"/>
    </row>
    <row r="674" ht="12.75" hidden="1" customHeight="1">
      <c r="A674" s="27" t="s">
        <v>1690</v>
      </c>
      <c r="B674" s="38" t="s">
        <v>1691</v>
      </c>
      <c r="C674" s="38" t="s">
        <v>1692</v>
      </c>
      <c r="D674" s="32"/>
      <c r="E674" s="69">
        <v>0.0</v>
      </c>
      <c r="F674" s="29"/>
      <c r="G674" s="25">
        <v>1690.0</v>
      </c>
      <c r="H674" s="7"/>
      <c r="I674" s="25">
        <v>3680.0</v>
      </c>
      <c r="J674" s="9"/>
      <c r="K674" s="9"/>
      <c r="L674" s="26"/>
      <c r="M674" s="26"/>
      <c r="N674" s="26"/>
    </row>
    <row r="675" ht="12.75" hidden="1" customHeight="1">
      <c r="A675" s="27" t="s">
        <v>1693</v>
      </c>
      <c r="B675" s="55" t="s">
        <v>1694</v>
      </c>
      <c r="C675" s="27" t="s">
        <v>1695</v>
      </c>
      <c r="D675" s="32"/>
      <c r="E675" s="4">
        <v>0.0</v>
      </c>
      <c r="F675" s="5"/>
      <c r="G675" s="6"/>
      <c r="H675" s="37"/>
      <c r="I675" s="8">
        <v>385.0</v>
      </c>
      <c r="J675" s="58">
        <v>230.0</v>
      </c>
      <c r="K675" s="9">
        <v>300.0</v>
      </c>
      <c r="L675" s="26"/>
      <c r="M675" s="26"/>
      <c r="N675" s="26"/>
    </row>
    <row r="676" ht="12.75" hidden="1" customHeight="1">
      <c r="A676" s="27" t="s">
        <v>1696</v>
      </c>
      <c r="B676" s="55" t="s">
        <v>1697</v>
      </c>
      <c r="C676" s="27" t="s">
        <v>1698</v>
      </c>
      <c r="D676" s="32"/>
      <c r="E676" s="4">
        <v>0.0</v>
      </c>
      <c r="F676" s="5"/>
      <c r="G676" s="6"/>
      <c r="H676" s="37"/>
      <c r="I676" s="8">
        <v>262.0</v>
      </c>
      <c r="J676" s="9"/>
      <c r="K676" s="9"/>
      <c r="L676" s="26"/>
      <c r="M676" s="26"/>
      <c r="N676" s="26"/>
    </row>
    <row r="677" ht="12.75" hidden="1" customHeight="1">
      <c r="A677" s="22" t="s">
        <v>1699</v>
      </c>
      <c r="B677" s="55" t="s">
        <v>1700</v>
      </c>
      <c r="C677" s="27" t="s">
        <v>1701</v>
      </c>
      <c r="D677" s="32"/>
      <c r="E677" s="4">
        <v>0.0</v>
      </c>
      <c r="F677" s="5"/>
      <c r="G677" s="6"/>
      <c r="H677" s="37"/>
      <c r="I677" s="8">
        <v>530.0</v>
      </c>
      <c r="J677" s="9">
        <v>294.0</v>
      </c>
      <c r="K677" s="9"/>
      <c r="L677" s="26"/>
      <c r="M677" s="26"/>
      <c r="N677" s="26"/>
    </row>
    <row r="678" ht="12.75" hidden="1" customHeight="1">
      <c r="A678" s="22" t="s">
        <v>1702</v>
      </c>
      <c r="B678" s="53" t="s">
        <v>1703</v>
      </c>
      <c r="C678" s="27" t="s">
        <v>1704</v>
      </c>
      <c r="D678" s="32"/>
      <c r="E678" s="4"/>
      <c r="F678" s="5"/>
      <c r="G678" s="25"/>
      <c r="H678" s="51" t="s">
        <v>250</v>
      </c>
      <c r="I678" s="25"/>
      <c r="J678" s="58"/>
      <c r="K678" s="9"/>
      <c r="L678" s="26"/>
      <c r="M678" s="26"/>
      <c r="N678" s="26"/>
    </row>
    <row r="679" ht="12.75" hidden="1" customHeight="1">
      <c r="A679" s="38" t="s">
        <v>1705</v>
      </c>
      <c r="B679" s="139" t="s">
        <v>1706</v>
      </c>
      <c r="C679" s="27" t="s">
        <v>1707</v>
      </c>
      <c r="D679" s="32"/>
      <c r="E679" s="4">
        <v>0.0</v>
      </c>
      <c r="F679" s="5"/>
      <c r="G679" s="25">
        <v>360.0</v>
      </c>
      <c r="H679" s="51" t="s">
        <v>254</v>
      </c>
      <c r="I679" s="25">
        <v>600.0</v>
      </c>
      <c r="J679" s="25">
        <v>330.0</v>
      </c>
      <c r="K679" s="9"/>
      <c r="L679" s="26"/>
      <c r="M679" s="26"/>
      <c r="N679" s="26"/>
    </row>
    <row r="680" ht="12.75" hidden="1" customHeight="1">
      <c r="A680" s="53" t="s">
        <v>1708</v>
      </c>
      <c r="B680" s="27" t="s">
        <v>1709</v>
      </c>
      <c r="C680" s="27" t="s">
        <v>1710</v>
      </c>
      <c r="D680" s="32"/>
      <c r="E680" s="4">
        <v>0.0</v>
      </c>
      <c r="F680" s="5"/>
      <c r="G680" s="25">
        <v>315.0</v>
      </c>
      <c r="H680" s="51" t="s">
        <v>250</v>
      </c>
      <c r="I680" s="25">
        <v>700.0</v>
      </c>
      <c r="J680" s="25">
        <v>315.0</v>
      </c>
      <c r="K680" s="9">
        <v>500.0</v>
      </c>
      <c r="L680" s="26"/>
      <c r="M680" s="26"/>
      <c r="N680" s="26"/>
    </row>
    <row r="681" ht="12.75" hidden="1" customHeight="1">
      <c r="A681" s="53" t="s">
        <v>1711</v>
      </c>
      <c r="B681" s="53" t="s">
        <v>1712</v>
      </c>
      <c r="C681" s="27" t="s">
        <v>1713</v>
      </c>
      <c r="D681" s="32"/>
      <c r="E681" s="4">
        <v>0.0</v>
      </c>
      <c r="F681" s="5"/>
      <c r="G681" s="25">
        <v>280.0</v>
      </c>
      <c r="H681" s="51" t="s">
        <v>250</v>
      </c>
      <c r="I681" s="25">
        <v>600.0</v>
      </c>
      <c r="J681" s="25">
        <v>280.0</v>
      </c>
      <c r="K681" s="9">
        <v>450.0</v>
      </c>
      <c r="L681" s="26"/>
      <c r="M681" s="26"/>
      <c r="N681" s="26"/>
    </row>
    <row r="682" ht="12.75" hidden="1" customHeight="1">
      <c r="A682" s="140" t="s">
        <v>1714</v>
      </c>
      <c r="B682" s="140" t="s">
        <v>1715</v>
      </c>
      <c r="C682" s="140" t="s">
        <v>1716</v>
      </c>
      <c r="D682" s="82"/>
      <c r="E682" s="141">
        <v>0.0</v>
      </c>
      <c r="F682" s="30"/>
      <c r="G682" s="25">
        <v>780.0</v>
      </c>
      <c r="H682" s="32" t="s">
        <v>250</v>
      </c>
      <c r="I682" s="25">
        <v>1880.0</v>
      </c>
      <c r="J682" s="9"/>
      <c r="K682" s="9"/>
      <c r="L682" s="26"/>
      <c r="M682" s="26"/>
      <c r="N682" s="26"/>
    </row>
    <row r="683" ht="12.75" hidden="1" customHeight="1">
      <c r="A683" s="53" t="s">
        <v>1717</v>
      </c>
      <c r="B683" s="53" t="s">
        <v>1718</v>
      </c>
      <c r="C683" s="27" t="s">
        <v>1719</v>
      </c>
      <c r="D683" s="32" t="s">
        <v>1720</v>
      </c>
      <c r="E683" s="4">
        <v>0.0</v>
      </c>
      <c r="F683" s="5"/>
      <c r="G683" s="9">
        <v>380.0</v>
      </c>
      <c r="H683" s="32" t="s">
        <v>254</v>
      </c>
      <c r="I683" s="25">
        <v>780.0</v>
      </c>
      <c r="J683" s="9">
        <v>348.0</v>
      </c>
      <c r="K683" s="9"/>
      <c r="L683" s="26"/>
      <c r="M683" s="26"/>
      <c r="N683" s="26"/>
    </row>
    <row r="684" ht="12.75" hidden="1" customHeight="1">
      <c r="A684" s="38" t="s">
        <v>1721</v>
      </c>
      <c r="B684" s="38" t="s">
        <v>1722</v>
      </c>
      <c r="C684" s="22" t="s">
        <v>1723</v>
      </c>
      <c r="D684" s="51" t="s">
        <v>1724</v>
      </c>
      <c r="E684" s="69">
        <v>0.0</v>
      </c>
      <c r="F684" s="29"/>
      <c r="G684" s="25">
        <v>435.0</v>
      </c>
      <c r="H684" s="51" t="s">
        <v>250</v>
      </c>
      <c r="I684" s="25">
        <v>800.0</v>
      </c>
      <c r="J684" s="9">
        <v>435.0</v>
      </c>
      <c r="K684" s="25"/>
      <c r="L684" s="67"/>
      <c r="M684" s="67"/>
      <c r="N684" s="67"/>
    </row>
    <row r="685" ht="12.75" hidden="1" customHeight="1">
      <c r="A685" s="53" t="s">
        <v>1725</v>
      </c>
      <c r="B685" s="53" t="s">
        <v>1726</v>
      </c>
      <c r="C685" s="27" t="s">
        <v>1727</v>
      </c>
      <c r="D685" s="32" t="s">
        <v>1728</v>
      </c>
      <c r="E685" s="4">
        <v>0.0</v>
      </c>
      <c r="F685" s="5"/>
      <c r="G685" s="9">
        <v>365.0</v>
      </c>
      <c r="H685" s="32" t="s">
        <v>254</v>
      </c>
      <c r="I685" s="25">
        <v>780.0</v>
      </c>
      <c r="J685" s="9">
        <v>335.0</v>
      </c>
      <c r="K685" s="9"/>
      <c r="L685" s="26"/>
      <c r="M685" s="26"/>
      <c r="N685" s="26"/>
    </row>
    <row r="686" ht="12.75" hidden="1" customHeight="1">
      <c r="A686" s="27" t="s">
        <v>1729</v>
      </c>
      <c r="B686" s="55" t="s">
        <v>1730</v>
      </c>
      <c r="C686" s="27" t="s">
        <v>1731</v>
      </c>
      <c r="D686" s="81"/>
      <c r="E686" s="69">
        <v>0.0</v>
      </c>
      <c r="F686" s="29"/>
      <c r="G686" s="25">
        <v>210.0</v>
      </c>
      <c r="H686" s="32" t="s">
        <v>279</v>
      </c>
      <c r="I686" s="25">
        <v>500.0</v>
      </c>
      <c r="J686" s="33">
        <v>194.0</v>
      </c>
      <c r="K686" s="33"/>
      <c r="L686" s="26"/>
      <c r="M686" s="26"/>
      <c r="N686" s="26"/>
    </row>
    <row r="687" ht="12.75" hidden="1" customHeight="1">
      <c r="A687" s="27" t="s">
        <v>1732</v>
      </c>
      <c r="B687" s="38" t="s">
        <v>1733</v>
      </c>
      <c r="C687" s="38" t="s">
        <v>1734</v>
      </c>
      <c r="D687" s="32"/>
      <c r="E687" s="4">
        <v>0.0</v>
      </c>
      <c r="F687" s="5"/>
      <c r="G687" s="25">
        <v>720.0</v>
      </c>
      <c r="H687" s="7"/>
      <c r="I687" s="25">
        <v>1480.0</v>
      </c>
      <c r="J687" s="9"/>
      <c r="K687" s="9"/>
      <c r="L687" s="26"/>
      <c r="M687" s="26"/>
      <c r="N687" s="26"/>
    </row>
    <row r="688" ht="12.75" hidden="1" customHeight="1">
      <c r="A688" s="27" t="s">
        <v>1735</v>
      </c>
      <c r="B688" s="38" t="s">
        <v>1733</v>
      </c>
      <c r="C688" s="38" t="s">
        <v>1736</v>
      </c>
      <c r="D688" s="32"/>
      <c r="E688" s="4">
        <v>0.0</v>
      </c>
      <c r="F688" s="5"/>
      <c r="G688" s="25">
        <v>720.0</v>
      </c>
      <c r="H688" s="7"/>
      <c r="I688" s="25">
        <v>1480.0</v>
      </c>
      <c r="J688" s="9"/>
      <c r="K688" s="9"/>
      <c r="L688" s="26"/>
      <c r="M688" s="26"/>
      <c r="N688" s="26"/>
    </row>
    <row r="689" ht="12.75" hidden="1" customHeight="1">
      <c r="A689" s="27" t="s">
        <v>1737</v>
      </c>
      <c r="B689" s="38" t="s">
        <v>1738</v>
      </c>
      <c r="C689" s="38" t="s">
        <v>1739</v>
      </c>
      <c r="D689" s="32"/>
      <c r="E689" s="4">
        <v>0.0</v>
      </c>
      <c r="F689" s="5"/>
      <c r="G689" s="25">
        <v>720.0</v>
      </c>
      <c r="H689" s="7"/>
      <c r="I689" s="25">
        <v>1480.0</v>
      </c>
      <c r="J689" s="9"/>
      <c r="K689" s="9"/>
      <c r="L689" s="26"/>
      <c r="M689" s="26"/>
      <c r="N689" s="26"/>
    </row>
    <row r="690" ht="12.75" hidden="1" customHeight="1">
      <c r="A690" s="27" t="s">
        <v>1740</v>
      </c>
      <c r="B690" s="38" t="s">
        <v>1738</v>
      </c>
      <c r="C690" s="38" t="s">
        <v>1741</v>
      </c>
      <c r="D690" s="32"/>
      <c r="E690" s="4">
        <v>0.0</v>
      </c>
      <c r="F690" s="5"/>
      <c r="G690" s="25">
        <v>720.0</v>
      </c>
      <c r="H690" s="7"/>
      <c r="I690" s="25">
        <v>1480.0</v>
      </c>
      <c r="J690" s="9"/>
      <c r="K690" s="9"/>
      <c r="L690" s="26"/>
      <c r="M690" s="26"/>
      <c r="N690" s="26"/>
    </row>
    <row r="691" ht="12.75" hidden="1" customHeight="1">
      <c r="A691" s="27" t="s">
        <v>1742</v>
      </c>
      <c r="B691" s="38" t="s">
        <v>1743</v>
      </c>
      <c r="C691" s="38" t="s">
        <v>1744</v>
      </c>
      <c r="D691" s="32"/>
      <c r="E691" s="4">
        <v>0.0</v>
      </c>
      <c r="F691" s="5"/>
      <c r="G691" s="25">
        <v>760.0</v>
      </c>
      <c r="H691" s="7"/>
      <c r="I691" s="25">
        <v>1170.0</v>
      </c>
      <c r="J691" s="9"/>
      <c r="K691" s="9"/>
      <c r="L691" s="26"/>
      <c r="M691" s="26"/>
      <c r="N691" s="26"/>
    </row>
    <row r="692" ht="12.75" hidden="1" customHeight="1">
      <c r="A692" s="27" t="s">
        <v>1745</v>
      </c>
      <c r="B692" s="38" t="s">
        <v>1746</v>
      </c>
      <c r="C692" s="38" t="s">
        <v>1744</v>
      </c>
      <c r="D692" s="28"/>
      <c r="E692" s="4">
        <v>0.0</v>
      </c>
      <c r="F692" s="5"/>
      <c r="G692" s="25">
        <v>780.0</v>
      </c>
      <c r="H692" s="7"/>
      <c r="I692" s="25">
        <v>1580.0</v>
      </c>
      <c r="J692" s="9"/>
      <c r="K692" s="9"/>
      <c r="L692" s="26"/>
      <c r="M692" s="26"/>
      <c r="N692" s="26"/>
    </row>
    <row r="693" ht="12.75" hidden="1" customHeight="1">
      <c r="A693" s="27" t="s">
        <v>1747</v>
      </c>
      <c r="B693" s="38" t="s">
        <v>1748</v>
      </c>
      <c r="C693" s="38" t="s">
        <v>1749</v>
      </c>
      <c r="D693" s="32" t="s">
        <v>1750</v>
      </c>
      <c r="E693" s="4">
        <v>0.0</v>
      </c>
      <c r="F693" s="5"/>
      <c r="G693" s="25">
        <v>760.0</v>
      </c>
      <c r="H693" s="7"/>
      <c r="I693" s="25">
        <v>1580.0</v>
      </c>
      <c r="J693" s="9"/>
      <c r="K693" s="9"/>
      <c r="L693" s="26"/>
      <c r="M693" s="26"/>
      <c r="N693" s="26"/>
    </row>
    <row r="694" ht="12.75" hidden="1" customHeight="1">
      <c r="A694" s="5" t="s">
        <v>1751</v>
      </c>
      <c r="B694" s="5" t="s">
        <v>1752</v>
      </c>
      <c r="C694" s="5" t="s">
        <v>1753</v>
      </c>
      <c r="D694" s="3" t="s">
        <v>904</v>
      </c>
      <c r="E694" s="4">
        <v>0.0</v>
      </c>
      <c r="F694" s="5"/>
      <c r="G694" s="9">
        <v>293.0</v>
      </c>
      <c r="H694" s="32" t="s">
        <v>254</v>
      </c>
      <c r="I694" s="25">
        <v>600.0</v>
      </c>
      <c r="J694" s="50">
        <v>268.0</v>
      </c>
      <c r="K694" s="9"/>
      <c r="L694" s="26"/>
      <c r="M694" s="26"/>
      <c r="N694" s="26"/>
    </row>
    <row r="695" ht="12.75" hidden="1" customHeight="1">
      <c r="A695" s="38" t="s">
        <v>1754</v>
      </c>
      <c r="B695" s="38" t="s">
        <v>1755</v>
      </c>
      <c r="C695" s="27" t="s">
        <v>1756</v>
      </c>
      <c r="D695" s="32" t="s">
        <v>1132</v>
      </c>
      <c r="E695" s="4">
        <v>0.0</v>
      </c>
      <c r="F695" s="5"/>
      <c r="G695" s="25"/>
      <c r="H695" s="51" t="s">
        <v>250</v>
      </c>
      <c r="I695" s="25"/>
      <c r="J695" s="9"/>
      <c r="K695" s="9"/>
      <c r="L695" s="26"/>
      <c r="M695" s="26"/>
      <c r="N695" s="26"/>
    </row>
    <row r="696" ht="12.75" hidden="1" customHeight="1">
      <c r="A696" s="38" t="s">
        <v>1757</v>
      </c>
      <c r="B696" s="38" t="s">
        <v>1758</v>
      </c>
      <c r="C696" s="27" t="s">
        <v>1756</v>
      </c>
      <c r="D696" s="32"/>
      <c r="E696" s="4">
        <v>0.0</v>
      </c>
      <c r="F696" s="5"/>
      <c r="G696" s="25">
        <v>1020.0</v>
      </c>
      <c r="H696" s="51" t="s">
        <v>250</v>
      </c>
      <c r="I696" s="25">
        <v>1980.0</v>
      </c>
      <c r="J696" s="9">
        <v>1020.0</v>
      </c>
      <c r="K696" s="9"/>
      <c r="L696" s="26"/>
      <c r="M696" s="26"/>
      <c r="N696" s="26"/>
    </row>
    <row r="697" ht="12.75" hidden="1" customHeight="1">
      <c r="A697" s="38" t="s">
        <v>1759</v>
      </c>
      <c r="B697" s="38" t="s">
        <v>1760</v>
      </c>
      <c r="C697" s="27" t="s">
        <v>1756</v>
      </c>
      <c r="D697" s="32"/>
      <c r="E697" s="4">
        <v>0.0</v>
      </c>
      <c r="F697" s="5"/>
      <c r="G697" s="25">
        <v>1070.0</v>
      </c>
      <c r="H697" s="51" t="s">
        <v>250</v>
      </c>
      <c r="I697" s="25">
        <v>1980.0</v>
      </c>
      <c r="J697" s="9">
        <v>1070.0</v>
      </c>
      <c r="K697" s="9"/>
      <c r="L697" s="26"/>
      <c r="M697" s="26"/>
      <c r="N697" s="26"/>
    </row>
    <row r="698" ht="12.75" hidden="1" customHeight="1">
      <c r="A698" s="38" t="s">
        <v>1761</v>
      </c>
      <c r="B698" s="38" t="s">
        <v>1762</v>
      </c>
      <c r="C698" s="27" t="s">
        <v>1756</v>
      </c>
      <c r="D698" s="32"/>
      <c r="E698" s="4">
        <v>0.0</v>
      </c>
      <c r="F698" s="5"/>
      <c r="G698" s="25">
        <v>1070.0</v>
      </c>
      <c r="H698" s="51" t="s">
        <v>250</v>
      </c>
      <c r="I698" s="25">
        <v>1980.0</v>
      </c>
      <c r="J698" s="9">
        <v>1070.0</v>
      </c>
      <c r="K698" s="9"/>
      <c r="L698" s="26"/>
      <c r="M698" s="26"/>
      <c r="N698" s="26"/>
    </row>
    <row r="699" ht="12.75" hidden="1" customHeight="1">
      <c r="A699" s="38" t="s">
        <v>1763</v>
      </c>
      <c r="B699" s="38" t="s">
        <v>1764</v>
      </c>
      <c r="C699" s="27" t="s">
        <v>1765</v>
      </c>
      <c r="D699" s="32"/>
      <c r="E699" s="4">
        <v>0.0</v>
      </c>
      <c r="F699" s="5"/>
      <c r="G699" s="25">
        <v>3600.0</v>
      </c>
      <c r="H699" s="51" t="s">
        <v>250</v>
      </c>
      <c r="I699" s="25">
        <v>6680.0</v>
      </c>
      <c r="J699" s="9">
        <v>3600.0</v>
      </c>
      <c r="K699" s="9"/>
      <c r="L699" s="26"/>
      <c r="M699" s="26"/>
      <c r="N699" s="26"/>
    </row>
    <row r="700" ht="12.75" hidden="1" customHeight="1">
      <c r="A700" s="38" t="s">
        <v>1766</v>
      </c>
      <c r="B700" s="38" t="s">
        <v>1767</v>
      </c>
      <c r="C700" s="27" t="s">
        <v>1765</v>
      </c>
      <c r="D700" s="32"/>
      <c r="E700" s="4">
        <v>0.0</v>
      </c>
      <c r="F700" s="5"/>
      <c r="G700" s="25">
        <v>3600.0</v>
      </c>
      <c r="H700" s="51" t="s">
        <v>250</v>
      </c>
      <c r="I700" s="25">
        <v>6680.0</v>
      </c>
      <c r="J700" s="9">
        <v>3600.0</v>
      </c>
      <c r="K700" s="9"/>
      <c r="L700" s="26"/>
      <c r="M700" s="26"/>
      <c r="N700" s="26"/>
    </row>
    <row r="701" ht="12.75" hidden="1" customHeight="1">
      <c r="A701" s="27" t="s">
        <v>1768</v>
      </c>
      <c r="B701" s="55" t="s">
        <v>1769</v>
      </c>
      <c r="C701" s="27" t="s">
        <v>1770</v>
      </c>
      <c r="D701" s="32"/>
      <c r="E701" s="69">
        <v>0.0</v>
      </c>
      <c r="F701" s="29"/>
      <c r="G701" s="25">
        <v>1080.0</v>
      </c>
      <c r="H701" s="32" t="s">
        <v>254</v>
      </c>
      <c r="I701" s="25">
        <v>2300.0</v>
      </c>
      <c r="J701" s="33">
        <v>990.0</v>
      </c>
      <c r="K701" s="33"/>
      <c r="L701" s="26"/>
      <c r="M701" s="26"/>
      <c r="N701" s="26"/>
    </row>
    <row r="702" ht="12.75" hidden="1" customHeight="1">
      <c r="A702" s="27" t="s">
        <v>1771</v>
      </c>
      <c r="B702" s="55" t="s">
        <v>1772</v>
      </c>
      <c r="C702" s="27" t="s">
        <v>1773</v>
      </c>
      <c r="D702" s="32"/>
      <c r="E702" s="4">
        <v>0.0</v>
      </c>
      <c r="F702" s="5"/>
      <c r="G702" s="9">
        <v>280.0</v>
      </c>
      <c r="H702" s="7"/>
      <c r="I702" s="25">
        <v>650.0</v>
      </c>
      <c r="J702" s="50">
        <v>240.0</v>
      </c>
      <c r="K702" s="9">
        <v>350.0</v>
      </c>
      <c r="L702" s="26"/>
      <c r="M702" s="26"/>
      <c r="N702" s="26"/>
    </row>
    <row r="703" ht="12.75" hidden="1" customHeight="1">
      <c r="A703" s="27" t="s">
        <v>1774</v>
      </c>
      <c r="B703" s="55" t="s">
        <v>1775</v>
      </c>
      <c r="C703" s="27" t="s">
        <v>1776</v>
      </c>
      <c r="D703" s="28"/>
      <c r="E703" s="4">
        <v>0.0</v>
      </c>
      <c r="F703" s="5"/>
      <c r="G703" s="9">
        <v>280.0</v>
      </c>
      <c r="H703" s="52"/>
      <c r="I703" s="25">
        <v>650.0</v>
      </c>
      <c r="J703" s="50">
        <v>240.0</v>
      </c>
      <c r="K703" s="9">
        <v>350.0</v>
      </c>
      <c r="L703" s="26"/>
      <c r="M703" s="26"/>
      <c r="N703" s="26"/>
    </row>
    <row r="704" ht="12.75" hidden="1" customHeight="1">
      <c r="A704" s="27" t="s">
        <v>1777</v>
      </c>
      <c r="B704" s="55" t="s">
        <v>1778</v>
      </c>
      <c r="C704" s="27" t="s">
        <v>1779</v>
      </c>
      <c r="D704" s="72"/>
      <c r="E704" s="4">
        <v>0.0</v>
      </c>
      <c r="F704" s="5"/>
      <c r="G704" s="9">
        <v>180.0</v>
      </c>
      <c r="H704" s="32"/>
      <c r="I704" s="25">
        <v>500.0</v>
      </c>
      <c r="J704" s="50">
        <v>157.0</v>
      </c>
      <c r="K704" s="9">
        <v>300.0</v>
      </c>
      <c r="L704" s="26"/>
      <c r="M704" s="26"/>
      <c r="N704" s="26"/>
    </row>
    <row r="705" ht="12.75" hidden="1" customHeight="1">
      <c r="A705" s="22" t="s">
        <v>1780</v>
      </c>
      <c r="B705" s="55" t="s">
        <v>1781</v>
      </c>
      <c r="C705" s="27" t="s">
        <v>1782</v>
      </c>
      <c r="D705" s="32"/>
      <c r="E705" s="4">
        <v>0.0</v>
      </c>
      <c r="F705" s="5"/>
      <c r="G705" s="25">
        <v>330.0</v>
      </c>
      <c r="H705" s="51" t="s">
        <v>279</v>
      </c>
      <c r="I705" s="25">
        <v>700.0</v>
      </c>
      <c r="J705" s="25">
        <v>305.0</v>
      </c>
      <c r="K705" s="9"/>
      <c r="L705" s="26"/>
      <c r="M705" s="26"/>
      <c r="N705" s="26"/>
    </row>
    <row r="706" ht="12.75" hidden="1" customHeight="1">
      <c r="A706" s="22" t="s">
        <v>1783</v>
      </c>
      <c r="B706" s="55" t="s">
        <v>1784</v>
      </c>
      <c r="C706" s="27" t="s">
        <v>1785</v>
      </c>
      <c r="D706" s="32"/>
      <c r="E706" s="4">
        <v>0.0</v>
      </c>
      <c r="F706" s="5"/>
      <c r="G706" s="25">
        <v>630.0</v>
      </c>
      <c r="H706" s="51" t="s">
        <v>254</v>
      </c>
      <c r="I706" s="25">
        <v>1050.0</v>
      </c>
      <c r="J706" s="25">
        <v>578.0</v>
      </c>
      <c r="K706" s="9"/>
      <c r="L706" s="26"/>
      <c r="M706" s="26"/>
      <c r="N706" s="26"/>
    </row>
    <row r="707" ht="12.75" hidden="1" customHeight="1">
      <c r="A707" s="22" t="s">
        <v>1786</v>
      </c>
      <c r="B707" s="55" t="s">
        <v>1787</v>
      </c>
      <c r="C707" s="27" t="s">
        <v>1788</v>
      </c>
      <c r="D707" s="32"/>
      <c r="E707" s="4">
        <v>0.0</v>
      </c>
      <c r="F707" s="5"/>
      <c r="G707" s="25">
        <v>480.0</v>
      </c>
      <c r="H707" s="51" t="s">
        <v>279</v>
      </c>
      <c r="I707" s="25">
        <v>980.0</v>
      </c>
      <c r="J707" s="25">
        <v>443.0</v>
      </c>
      <c r="K707" s="9"/>
      <c r="L707" s="26"/>
      <c r="M707" s="26"/>
      <c r="N707" s="26"/>
    </row>
    <row r="708" ht="12.75" hidden="1" customHeight="1">
      <c r="A708" s="38" t="s">
        <v>1789</v>
      </c>
      <c r="B708" s="139" t="s">
        <v>1790</v>
      </c>
      <c r="C708" s="22" t="s">
        <v>1791</v>
      </c>
      <c r="D708" s="51"/>
      <c r="E708" s="69">
        <v>0.0</v>
      </c>
      <c r="F708" s="29"/>
      <c r="G708" s="25">
        <v>330.0</v>
      </c>
      <c r="H708" s="51" t="s">
        <v>279</v>
      </c>
      <c r="I708" s="25">
        <v>700.0</v>
      </c>
      <c r="J708" s="25">
        <v>305.0</v>
      </c>
      <c r="K708" s="25"/>
      <c r="L708" s="67"/>
      <c r="M708" s="67"/>
      <c r="N708" s="67"/>
    </row>
    <row r="709" ht="12.75" hidden="1" customHeight="1">
      <c r="A709" s="38" t="s">
        <v>1792</v>
      </c>
      <c r="B709" s="139" t="s">
        <v>1793</v>
      </c>
      <c r="C709" s="27" t="s">
        <v>1794</v>
      </c>
      <c r="D709" s="32"/>
      <c r="E709" s="4">
        <v>0.0</v>
      </c>
      <c r="F709" s="5"/>
      <c r="G709" s="25">
        <v>560.0</v>
      </c>
      <c r="H709" s="51" t="s">
        <v>254</v>
      </c>
      <c r="I709" s="25">
        <v>1080.0</v>
      </c>
      <c r="J709" s="25">
        <v>513.0</v>
      </c>
      <c r="K709" s="9"/>
      <c r="L709" s="26"/>
      <c r="M709" s="26"/>
      <c r="N709" s="26"/>
    </row>
    <row r="710" ht="12.75" hidden="1" customHeight="1">
      <c r="A710" s="38" t="s">
        <v>1795</v>
      </c>
      <c r="B710" s="139" t="s">
        <v>1796</v>
      </c>
      <c r="C710" s="27" t="s">
        <v>1797</v>
      </c>
      <c r="D710" s="32"/>
      <c r="E710" s="4">
        <v>0.0</v>
      </c>
      <c r="F710" s="5"/>
      <c r="G710" s="25">
        <v>560.0</v>
      </c>
      <c r="H710" s="51" t="s">
        <v>279</v>
      </c>
      <c r="I710" s="25">
        <v>1080.0</v>
      </c>
      <c r="J710" s="25">
        <v>517.0</v>
      </c>
      <c r="K710" s="9"/>
      <c r="L710" s="26"/>
      <c r="M710" s="26"/>
      <c r="N710" s="26"/>
    </row>
    <row r="711" ht="12.75" hidden="1" customHeight="1">
      <c r="A711" s="140" t="s">
        <v>1798</v>
      </c>
      <c r="B711" s="53" t="s">
        <v>1799</v>
      </c>
      <c r="C711" s="27" t="s">
        <v>1800</v>
      </c>
      <c r="D711" s="32" t="s">
        <v>1801</v>
      </c>
      <c r="E711" s="4">
        <v>0.0</v>
      </c>
      <c r="F711" s="5"/>
      <c r="G711" s="25">
        <v>405.0</v>
      </c>
      <c r="H711" s="32" t="s">
        <v>250</v>
      </c>
      <c r="I711" s="25">
        <v>900.0</v>
      </c>
      <c r="J711" s="9"/>
      <c r="K711" s="9"/>
      <c r="L711" s="26"/>
      <c r="M711" s="26"/>
      <c r="N711" s="26"/>
    </row>
    <row r="712" ht="12.75" hidden="1" customHeight="1">
      <c r="A712" s="53" t="s">
        <v>1802</v>
      </c>
      <c r="B712" s="53" t="s">
        <v>1803</v>
      </c>
      <c r="C712" s="27" t="s">
        <v>1804</v>
      </c>
      <c r="D712" s="52" t="s">
        <v>1805</v>
      </c>
      <c r="E712" s="4">
        <v>0.0</v>
      </c>
      <c r="F712" s="5"/>
      <c r="G712" s="9">
        <v>370.0</v>
      </c>
      <c r="H712" s="32" t="s">
        <v>254</v>
      </c>
      <c r="I712" s="25">
        <v>780.0</v>
      </c>
      <c r="J712" s="9">
        <v>339.0</v>
      </c>
      <c r="K712" s="9"/>
      <c r="L712" s="26"/>
      <c r="M712" s="26"/>
      <c r="N712" s="26"/>
    </row>
    <row r="713" ht="12.75" hidden="1" customHeight="1">
      <c r="A713" s="27" t="s">
        <v>1806</v>
      </c>
      <c r="B713" s="55" t="s">
        <v>1807</v>
      </c>
      <c r="C713" s="27" t="s">
        <v>1808</v>
      </c>
      <c r="D713" s="32"/>
      <c r="E713" s="4">
        <v>0.0</v>
      </c>
      <c r="F713" s="5"/>
      <c r="G713" s="25">
        <v>2600.0</v>
      </c>
      <c r="H713" s="51" t="s">
        <v>250</v>
      </c>
      <c r="I713" s="25">
        <v>4680.0</v>
      </c>
      <c r="J713" s="25"/>
      <c r="K713" s="9"/>
      <c r="L713" s="26"/>
      <c r="M713" s="26"/>
      <c r="N713" s="26"/>
    </row>
    <row r="714" ht="12.75" hidden="1" customHeight="1">
      <c r="A714" s="27" t="s">
        <v>1809</v>
      </c>
      <c r="B714" s="55" t="s">
        <v>1810</v>
      </c>
      <c r="C714" s="27" t="s">
        <v>1811</v>
      </c>
      <c r="D714" s="32"/>
      <c r="E714" s="4">
        <v>0.0</v>
      </c>
      <c r="F714" s="5"/>
      <c r="G714" s="25">
        <v>1280.0</v>
      </c>
      <c r="H714" s="51" t="s">
        <v>250</v>
      </c>
      <c r="I714" s="25">
        <v>2580.0</v>
      </c>
      <c r="J714" s="25"/>
      <c r="K714" s="9"/>
      <c r="L714" s="26"/>
      <c r="M714" s="26"/>
      <c r="N714" s="26"/>
    </row>
    <row r="715" ht="12.75" hidden="1" customHeight="1">
      <c r="A715" s="27" t="s">
        <v>1812</v>
      </c>
      <c r="B715" s="55" t="s">
        <v>1813</v>
      </c>
      <c r="C715" s="27" t="s">
        <v>1811</v>
      </c>
      <c r="D715" s="32" t="s">
        <v>1724</v>
      </c>
      <c r="E715" s="4">
        <v>0.0</v>
      </c>
      <c r="F715" s="5"/>
      <c r="G715" s="25">
        <v>1500.0</v>
      </c>
      <c r="H715" s="51" t="s">
        <v>250</v>
      </c>
      <c r="I715" s="25">
        <v>2580.0</v>
      </c>
      <c r="J715" s="25"/>
      <c r="K715" s="9"/>
      <c r="L715" s="26"/>
      <c r="M715" s="26"/>
      <c r="N715" s="26"/>
    </row>
    <row r="716" ht="12.75" hidden="1" customHeight="1">
      <c r="A716" s="27" t="s">
        <v>1814</v>
      </c>
      <c r="B716" s="55" t="s">
        <v>1815</v>
      </c>
      <c r="C716" s="27" t="s">
        <v>1816</v>
      </c>
      <c r="D716" s="32" t="s">
        <v>1817</v>
      </c>
      <c r="E716" s="4">
        <v>0.0</v>
      </c>
      <c r="F716" s="5"/>
      <c r="G716" s="25"/>
      <c r="H716" s="51" t="s">
        <v>250</v>
      </c>
      <c r="I716" s="25"/>
      <c r="J716" s="25"/>
      <c r="K716" s="9"/>
      <c r="L716" s="26"/>
      <c r="M716" s="26"/>
      <c r="N716" s="26"/>
    </row>
    <row r="717" ht="12.75" hidden="1" customHeight="1">
      <c r="A717" s="27" t="s">
        <v>1818</v>
      </c>
      <c r="B717" s="55" t="s">
        <v>1819</v>
      </c>
      <c r="C717" s="27" t="s">
        <v>1820</v>
      </c>
      <c r="D717" s="32" t="s">
        <v>1817</v>
      </c>
      <c r="E717" s="4">
        <v>0.0</v>
      </c>
      <c r="F717" s="5"/>
      <c r="G717" s="25"/>
      <c r="H717" s="51" t="s">
        <v>250</v>
      </c>
      <c r="I717" s="25">
        <v>2380.0</v>
      </c>
      <c r="J717" s="25"/>
      <c r="K717" s="9"/>
      <c r="L717" s="26"/>
      <c r="M717" s="26"/>
      <c r="N717" s="26"/>
    </row>
    <row r="718" ht="12.75" hidden="1" customHeight="1">
      <c r="A718" s="27" t="s">
        <v>1821</v>
      </c>
      <c r="B718" s="55" t="s">
        <v>1822</v>
      </c>
      <c r="C718" s="27" t="s">
        <v>1820</v>
      </c>
      <c r="D718" s="32" t="s">
        <v>1823</v>
      </c>
      <c r="E718" s="4">
        <v>0.0</v>
      </c>
      <c r="F718" s="5"/>
      <c r="G718" s="25">
        <v>1500.0</v>
      </c>
      <c r="H718" s="51" t="s">
        <v>250</v>
      </c>
      <c r="I718" s="25">
        <v>2380.0</v>
      </c>
      <c r="J718" s="25"/>
      <c r="K718" s="9"/>
      <c r="L718" s="26"/>
      <c r="M718" s="26"/>
      <c r="N718" s="26"/>
    </row>
    <row r="719" ht="12.75" hidden="1" customHeight="1">
      <c r="A719" s="27" t="s">
        <v>1824</v>
      </c>
      <c r="B719" s="55" t="s">
        <v>1825</v>
      </c>
      <c r="C719" s="27" t="s">
        <v>1826</v>
      </c>
      <c r="D719" s="32"/>
      <c r="E719" s="4">
        <v>0.0</v>
      </c>
      <c r="F719" s="5"/>
      <c r="G719" s="25">
        <v>690.0</v>
      </c>
      <c r="H719" s="51" t="s">
        <v>250</v>
      </c>
      <c r="I719" s="25">
        <v>1380.0</v>
      </c>
      <c r="J719" s="25"/>
      <c r="K719" s="9"/>
      <c r="L719" s="26"/>
      <c r="M719" s="26"/>
      <c r="N719" s="26"/>
    </row>
    <row r="720" ht="12.75" hidden="1" customHeight="1">
      <c r="A720" s="27" t="s">
        <v>1827</v>
      </c>
      <c r="B720" s="55" t="s">
        <v>1828</v>
      </c>
      <c r="C720" s="27" t="s">
        <v>1829</v>
      </c>
      <c r="D720" s="32"/>
      <c r="E720" s="4">
        <v>0.0</v>
      </c>
      <c r="F720" s="5"/>
      <c r="G720" s="25">
        <v>1820.0</v>
      </c>
      <c r="H720" s="51" t="s">
        <v>250</v>
      </c>
      <c r="I720" s="25">
        <v>3680.0</v>
      </c>
      <c r="J720" s="25"/>
      <c r="K720" s="9"/>
      <c r="L720" s="26"/>
      <c r="M720" s="26"/>
      <c r="N720" s="26"/>
    </row>
    <row r="721" ht="12.75" hidden="1" customHeight="1">
      <c r="A721" s="27" t="s">
        <v>1830</v>
      </c>
      <c r="B721" s="55" t="s">
        <v>1831</v>
      </c>
      <c r="C721" s="27" t="s">
        <v>1832</v>
      </c>
      <c r="D721" s="32"/>
      <c r="E721" s="4">
        <v>0.0</v>
      </c>
      <c r="F721" s="5"/>
      <c r="G721" s="25">
        <v>690.0</v>
      </c>
      <c r="H721" s="51" t="s">
        <v>250</v>
      </c>
      <c r="I721" s="25">
        <v>1380.0</v>
      </c>
      <c r="J721" s="25"/>
      <c r="K721" s="9"/>
      <c r="L721" s="26"/>
      <c r="M721" s="26"/>
      <c r="N721" s="26"/>
    </row>
    <row r="722" ht="12.75" hidden="1" customHeight="1">
      <c r="A722" s="22" t="s">
        <v>1833</v>
      </c>
      <c r="B722" s="2" t="s">
        <v>1834</v>
      </c>
      <c r="C722" s="2" t="s">
        <v>444</v>
      </c>
      <c r="D722" s="3"/>
      <c r="E722" s="4">
        <v>0.0</v>
      </c>
      <c r="F722" s="5"/>
      <c r="G722" s="25">
        <v>1750.0</v>
      </c>
      <c r="H722" s="32" t="s">
        <v>1835</v>
      </c>
      <c r="I722" s="25">
        <v>2980.0</v>
      </c>
      <c r="J722" s="25"/>
      <c r="K722" s="9"/>
      <c r="L722" s="26"/>
      <c r="M722" s="26"/>
      <c r="N722" s="26"/>
    </row>
    <row r="723" ht="12.75" hidden="1" customHeight="1">
      <c r="A723" s="22" t="s">
        <v>1836</v>
      </c>
      <c r="B723" s="2" t="s">
        <v>1837</v>
      </c>
      <c r="C723" s="2" t="s">
        <v>1838</v>
      </c>
      <c r="D723" s="3"/>
      <c r="E723" s="4">
        <v>0.0</v>
      </c>
      <c r="F723" s="5"/>
      <c r="G723" s="25">
        <v>2100.0</v>
      </c>
      <c r="H723" s="32" t="s">
        <v>1835</v>
      </c>
      <c r="I723" s="25">
        <v>3680.0</v>
      </c>
      <c r="J723" s="25"/>
      <c r="K723" s="9"/>
      <c r="L723" s="26"/>
      <c r="M723" s="26"/>
      <c r="N723" s="26"/>
    </row>
    <row r="724" ht="12.75" hidden="1" customHeight="1">
      <c r="A724" s="22" t="s">
        <v>1839</v>
      </c>
      <c r="B724" s="142" t="s">
        <v>1840</v>
      </c>
      <c r="C724" s="142" t="s">
        <v>1841</v>
      </c>
      <c r="D724" s="3"/>
      <c r="E724" s="4"/>
      <c r="F724" s="5"/>
      <c r="G724" s="6"/>
      <c r="H724" s="71"/>
      <c r="I724" s="8"/>
      <c r="J724" s="9"/>
      <c r="K724" s="9"/>
      <c r="L724" s="26"/>
      <c r="M724" s="26"/>
      <c r="N724" s="26"/>
    </row>
    <row r="725" ht="12.75" hidden="1" customHeight="1">
      <c r="A725" s="130" t="s">
        <v>1842</v>
      </c>
      <c r="B725" s="2" t="s">
        <v>1843</v>
      </c>
      <c r="C725" s="2" t="s">
        <v>1844</v>
      </c>
      <c r="D725" s="3"/>
      <c r="E725" s="4">
        <v>0.0</v>
      </c>
      <c r="F725" s="5"/>
      <c r="G725" s="25">
        <v>2150.0</v>
      </c>
      <c r="H725" s="51" t="s">
        <v>250</v>
      </c>
      <c r="I725" s="25">
        <v>3980.0</v>
      </c>
      <c r="J725" s="25"/>
      <c r="K725" s="9"/>
      <c r="L725" s="26"/>
      <c r="M725" s="26"/>
      <c r="N725" s="26"/>
    </row>
    <row r="726" ht="12.75" hidden="1" customHeight="1">
      <c r="A726" s="22" t="s">
        <v>1845</v>
      </c>
      <c r="B726" s="55" t="s">
        <v>1846</v>
      </c>
      <c r="C726" s="27" t="s">
        <v>1847</v>
      </c>
      <c r="D726" s="72" t="s">
        <v>1848</v>
      </c>
      <c r="E726" s="4">
        <v>0.0</v>
      </c>
      <c r="F726" s="5"/>
      <c r="G726" s="9">
        <v>590.0</v>
      </c>
      <c r="H726" s="32" t="s">
        <v>254</v>
      </c>
      <c r="I726" s="25">
        <v>1080.0</v>
      </c>
      <c r="J726" s="50">
        <v>540.0</v>
      </c>
      <c r="K726" s="9"/>
      <c r="L726" s="26"/>
      <c r="M726" s="26"/>
      <c r="N726" s="26"/>
    </row>
    <row r="727" ht="12.75" hidden="1" customHeight="1">
      <c r="A727" s="22" t="s">
        <v>1849</v>
      </c>
      <c r="B727" s="55" t="s">
        <v>1850</v>
      </c>
      <c r="C727" s="27" t="s">
        <v>1851</v>
      </c>
      <c r="D727" s="72" t="s">
        <v>1852</v>
      </c>
      <c r="E727" s="4">
        <v>0.0</v>
      </c>
      <c r="F727" s="5"/>
      <c r="G727" s="9">
        <v>760.0</v>
      </c>
      <c r="H727" s="32" t="s">
        <v>254</v>
      </c>
      <c r="I727" s="25">
        <v>1380.0</v>
      </c>
      <c r="J727" s="50">
        <v>697.0</v>
      </c>
      <c r="K727" s="9"/>
      <c r="L727" s="26"/>
      <c r="M727" s="26"/>
      <c r="N727" s="26"/>
    </row>
    <row r="728" ht="12.75" hidden="1" customHeight="1">
      <c r="A728" s="22" t="s">
        <v>538</v>
      </c>
      <c r="B728" s="2" t="s">
        <v>1853</v>
      </c>
      <c r="C728" s="2" t="s">
        <v>1854</v>
      </c>
      <c r="D728" s="32"/>
      <c r="E728" s="4">
        <v>0.0</v>
      </c>
      <c r="F728" s="5"/>
      <c r="G728" s="25">
        <v>4900.0</v>
      </c>
      <c r="H728" s="32" t="s">
        <v>250</v>
      </c>
      <c r="I728" s="33">
        <v>8000.0</v>
      </c>
      <c r="J728" s="33"/>
      <c r="K728" s="82"/>
      <c r="L728" s="26"/>
      <c r="M728" s="26"/>
      <c r="N728" s="26"/>
    </row>
    <row r="729" ht="12.75" hidden="1" customHeight="1">
      <c r="A729" s="22" t="s">
        <v>1855</v>
      </c>
      <c r="B729" s="2" t="s">
        <v>1856</v>
      </c>
      <c r="C729" s="2" t="s">
        <v>1857</v>
      </c>
      <c r="D729" s="32"/>
      <c r="E729" s="4">
        <v>0.0</v>
      </c>
      <c r="F729" s="5"/>
      <c r="G729" s="25">
        <v>6020.0</v>
      </c>
      <c r="H729" s="32" t="s">
        <v>250</v>
      </c>
      <c r="I729" s="33">
        <v>9600.0</v>
      </c>
      <c r="J729" s="33"/>
      <c r="K729" s="82"/>
      <c r="L729" s="26"/>
      <c r="M729" s="26"/>
      <c r="N729" s="26"/>
    </row>
    <row r="730" ht="12.75" hidden="1" customHeight="1">
      <c r="A730" s="22" t="s">
        <v>1858</v>
      </c>
      <c r="B730" s="2" t="s">
        <v>1859</v>
      </c>
      <c r="C730" s="2" t="s">
        <v>1860</v>
      </c>
      <c r="D730" s="28"/>
      <c r="E730" s="4">
        <v>0.0</v>
      </c>
      <c r="F730" s="5"/>
      <c r="G730" s="25">
        <v>3250.0</v>
      </c>
      <c r="H730" s="32" t="s">
        <v>250</v>
      </c>
      <c r="I730" s="33">
        <v>5980.0</v>
      </c>
      <c r="J730" s="33"/>
      <c r="K730" s="82"/>
      <c r="L730" s="26"/>
      <c r="M730" s="26"/>
      <c r="N730" s="26"/>
    </row>
    <row r="731" ht="12.75" hidden="1" customHeight="1">
      <c r="A731" s="27" t="s">
        <v>1861</v>
      </c>
      <c r="B731" s="55" t="s">
        <v>1862</v>
      </c>
      <c r="C731" s="27" t="s">
        <v>659</v>
      </c>
      <c r="D731" s="28"/>
      <c r="E731" s="69">
        <v>0.0</v>
      </c>
      <c r="F731" s="29"/>
      <c r="G731" s="25">
        <v>210.0</v>
      </c>
      <c r="H731" s="32" t="s">
        <v>279</v>
      </c>
      <c r="I731" s="25">
        <v>500.0</v>
      </c>
      <c r="J731" s="33">
        <v>194.0</v>
      </c>
      <c r="K731" s="33"/>
      <c r="L731" s="26"/>
      <c r="M731" s="26"/>
      <c r="N731" s="26"/>
    </row>
    <row r="732" ht="12.75" hidden="1" customHeight="1">
      <c r="A732" s="27" t="s">
        <v>1863</v>
      </c>
      <c r="B732" s="55" t="s">
        <v>1864</v>
      </c>
      <c r="C732" s="27" t="s">
        <v>633</v>
      </c>
      <c r="D732" s="32"/>
      <c r="E732" s="69">
        <v>0.0</v>
      </c>
      <c r="F732" s="29"/>
      <c r="G732" s="25">
        <v>245.0</v>
      </c>
      <c r="H732" s="52"/>
      <c r="I732" s="25">
        <v>550.0</v>
      </c>
      <c r="J732" s="33">
        <v>226.0</v>
      </c>
      <c r="K732" s="33"/>
      <c r="L732" s="26"/>
      <c r="M732" s="26"/>
      <c r="N732" s="26"/>
    </row>
    <row r="733" ht="12.75" hidden="1" customHeight="1">
      <c r="A733" s="27" t="s">
        <v>1865</v>
      </c>
      <c r="B733" s="55" t="s">
        <v>1866</v>
      </c>
      <c r="C733" s="27" t="s">
        <v>652</v>
      </c>
      <c r="D733" s="28"/>
      <c r="E733" s="69">
        <v>0.0</v>
      </c>
      <c r="F733" s="29"/>
      <c r="G733" s="25">
        <v>365.0</v>
      </c>
      <c r="H733" s="32" t="s">
        <v>279</v>
      </c>
      <c r="I733" s="25">
        <v>750.0</v>
      </c>
      <c r="J733" s="33">
        <v>337.0</v>
      </c>
      <c r="K733" s="33"/>
      <c r="L733" s="26"/>
      <c r="M733" s="26"/>
      <c r="N733" s="26"/>
    </row>
    <row r="734" ht="12.75" hidden="1" customHeight="1">
      <c r="A734" s="27" t="s">
        <v>1867</v>
      </c>
      <c r="B734" s="55" t="s">
        <v>1868</v>
      </c>
      <c r="C734" s="27" t="s">
        <v>652</v>
      </c>
      <c r="D734" s="28"/>
      <c r="E734" s="69">
        <v>0.0</v>
      </c>
      <c r="F734" s="29"/>
      <c r="G734" s="25">
        <v>365.0</v>
      </c>
      <c r="H734" s="32" t="s">
        <v>279</v>
      </c>
      <c r="I734" s="25">
        <v>750.0</v>
      </c>
      <c r="J734" s="33">
        <v>337.0</v>
      </c>
      <c r="K734" s="33"/>
      <c r="L734" s="26"/>
      <c r="M734" s="26"/>
      <c r="N734" s="26"/>
    </row>
    <row r="735" ht="12.75" hidden="1" customHeight="1">
      <c r="A735" s="27" t="s">
        <v>1869</v>
      </c>
      <c r="B735" s="55" t="s">
        <v>1870</v>
      </c>
      <c r="C735" s="27" t="s">
        <v>641</v>
      </c>
      <c r="D735" s="32"/>
      <c r="E735" s="69">
        <v>0.0</v>
      </c>
      <c r="F735" s="29"/>
      <c r="G735" s="25">
        <v>225.0</v>
      </c>
      <c r="H735" s="52" t="s">
        <v>1871</v>
      </c>
      <c r="I735" s="25">
        <v>550.0</v>
      </c>
      <c r="J735" s="33">
        <v>180.0</v>
      </c>
      <c r="K735" s="33"/>
      <c r="L735" s="26"/>
      <c r="M735" s="26"/>
      <c r="N735" s="26"/>
    </row>
    <row r="736" ht="12.75" hidden="1" customHeight="1">
      <c r="A736" s="27" t="s">
        <v>1872</v>
      </c>
      <c r="B736" s="55" t="s">
        <v>1873</v>
      </c>
      <c r="C736" s="27" t="s">
        <v>641</v>
      </c>
      <c r="D736" s="32"/>
      <c r="E736" s="69">
        <v>0.0</v>
      </c>
      <c r="F736" s="29"/>
      <c r="G736" s="25">
        <v>225.0</v>
      </c>
      <c r="H736" s="52" t="s">
        <v>1874</v>
      </c>
      <c r="I736" s="25"/>
      <c r="J736" s="33">
        <v>188.0</v>
      </c>
      <c r="K736" s="33"/>
      <c r="L736" s="26"/>
      <c r="M736" s="26"/>
      <c r="N736" s="26"/>
    </row>
    <row r="737" ht="12.75" hidden="1" customHeight="1">
      <c r="A737" s="27" t="s">
        <v>1875</v>
      </c>
      <c r="B737" s="55" t="s">
        <v>1876</v>
      </c>
      <c r="C737" s="27" t="s">
        <v>1877</v>
      </c>
      <c r="D737" s="28"/>
      <c r="E737" s="69">
        <v>0.0</v>
      </c>
      <c r="F737" s="29"/>
      <c r="G737" s="25">
        <v>250.0</v>
      </c>
      <c r="H737" s="32" t="s">
        <v>279</v>
      </c>
      <c r="I737" s="25">
        <v>580.0</v>
      </c>
      <c r="J737" s="33">
        <v>231.0</v>
      </c>
      <c r="K737" s="33"/>
      <c r="L737" s="26"/>
      <c r="M737" s="26"/>
      <c r="N737" s="26"/>
    </row>
    <row r="738" ht="12.75" hidden="1" customHeight="1">
      <c r="A738" s="53" t="s">
        <v>1878</v>
      </c>
      <c r="B738" s="22" t="s">
        <v>1879</v>
      </c>
      <c r="C738" s="27" t="s">
        <v>679</v>
      </c>
      <c r="D738" s="81"/>
      <c r="E738" s="69">
        <v>0.0</v>
      </c>
      <c r="F738" s="29"/>
      <c r="G738" s="25">
        <v>210.0</v>
      </c>
      <c r="H738" s="52" t="s">
        <v>668</v>
      </c>
      <c r="I738" s="25">
        <v>500.0</v>
      </c>
      <c r="J738" s="33">
        <v>185.0</v>
      </c>
      <c r="K738" s="33"/>
      <c r="L738" s="26"/>
      <c r="M738" s="26"/>
      <c r="N738" s="26"/>
    </row>
    <row r="739" ht="12.75" hidden="1" customHeight="1">
      <c r="A739" s="27" t="s">
        <v>1880</v>
      </c>
      <c r="B739" s="55" t="s">
        <v>1881</v>
      </c>
      <c r="C739" s="27" t="s">
        <v>704</v>
      </c>
      <c r="D739" s="32"/>
      <c r="E739" s="69">
        <v>0.0</v>
      </c>
      <c r="F739" s="29"/>
      <c r="G739" s="25">
        <v>230.0</v>
      </c>
      <c r="H739" s="32" t="s">
        <v>279</v>
      </c>
      <c r="I739" s="25">
        <v>580.0</v>
      </c>
      <c r="J739" s="33">
        <v>212.0</v>
      </c>
      <c r="K739" s="31"/>
      <c r="L739" s="26"/>
      <c r="M739" s="26"/>
      <c r="N739" s="26"/>
    </row>
    <row r="740" ht="12.75" hidden="1" customHeight="1">
      <c r="A740" s="27" t="s">
        <v>1882</v>
      </c>
      <c r="B740" s="55" t="s">
        <v>1883</v>
      </c>
      <c r="C740" s="27" t="s">
        <v>1884</v>
      </c>
      <c r="D740" s="32"/>
      <c r="E740" s="69">
        <v>0.0</v>
      </c>
      <c r="F740" s="29"/>
      <c r="G740" s="25">
        <v>550.0</v>
      </c>
      <c r="H740" s="32" t="s">
        <v>279</v>
      </c>
      <c r="I740" s="25"/>
      <c r="J740" s="33">
        <v>508.0</v>
      </c>
      <c r="K740" s="33"/>
      <c r="L740" s="26"/>
      <c r="M740" s="26"/>
      <c r="N740" s="26"/>
    </row>
    <row r="741" ht="12.75" hidden="1" customHeight="1">
      <c r="A741" s="27" t="s">
        <v>1885</v>
      </c>
      <c r="B741" s="38" t="s">
        <v>1886</v>
      </c>
      <c r="C741" s="38" t="s">
        <v>1887</v>
      </c>
      <c r="D741" s="32"/>
      <c r="E741" s="4">
        <v>0.0</v>
      </c>
      <c r="F741" s="5"/>
      <c r="G741" s="25">
        <v>780.0</v>
      </c>
      <c r="H741" s="143"/>
      <c r="I741" s="25">
        <v>1580.0</v>
      </c>
      <c r="J741" s="9"/>
      <c r="K741" s="9"/>
      <c r="L741" s="26"/>
      <c r="M741" s="26"/>
      <c r="N741" s="26"/>
    </row>
    <row r="742" ht="12.75" hidden="1" customHeight="1">
      <c r="A742" s="27" t="s">
        <v>1888</v>
      </c>
      <c r="B742" s="38" t="s">
        <v>1889</v>
      </c>
      <c r="C742" s="38" t="s">
        <v>1890</v>
      </c>
      <c r="D742" s="32"/>
      <c r="E742" s="4">
        <v>0.0</v>
      </c>
      <c r="F742" s="5"/>
      <c r="G742" s="25">
        <v>780.0</v>
      </c>
      <c r="H742" s="143"/>
      <c r="I742" s="25">
        <v>1580.0</v>
      </c>
      <c r="J742" s="9"/>
      <c r="K742" s="9"/>
      <c r="L742" s="26"/>
      <c r="M742" s="26"/>
      <c r="N742" s="26"/>
    </row>
    <row r="743" ht="12.75" hidden="1" customHeight="1">
      <c r="A743" s="27" t="s">
        <v>1891</v>
      </c>
      <c r="B743" s="38" t="s">
        <v>1892</v>
      </c>
      <c r="C743" s="38" t="s">
        <v>1893</v>
      </c>
      <c r="D743" s="32"/>
      <c r="E743" s="4">
        <v>0.0</v>
      </c>
      <c r="F743" s="5"/>
      <c r="G743" s="25">
        <v>525.0</v>
      </c>
      <c r="H743" s="143"/>
      <c r="I743" s="25">
        <v>980.0</v>
      </c>
      <c r="J743" s="9"/>
      <c r="K743" s="9"/>
      <c r="L743" s="26"/>
      <c r="M743" s="26"/>
      <c r="N743" s="26"/>
    </row>
    <row r="744" ht="12.75" hidden="1" customHeight="1">
      <c r="A744" s="22" t="s">
        <v>1894</v>
      </c>
      <c r="B744" s="38" t="s">
        <v>1895</v>
      </c>
      <c r="C744" s="38" t="s">
        <v>1896</v>
      </c>
      <c r="D744" s="51"/>
      <c r="E744" s="69">
        <v>0.0</v>
      </c>
      <c r="F744" s="29"/>
      <c r="G744" s="25">
        <v>340.0</v>
      </c>
      <c r="H744" s="143"/>
      <c r="I744" s="25">
        <v>700.0</v>
      </c>
      <c r="J744" s="9"/>
      <c r="K744" s="25"/>
      <c r="L744" s="67"/>
      <c r="M744" s="67"/>
      <c r="N744" s="67"/>
    </row>
    <row r="745" ht="12.75" hidden="1" customHeight="1">
      <c r="A745" s="27" t="s">
        <v>1897</v>
      </c>
      <c r="B745" s="38" t="s">
        <v>1898</v>
      </c>
      <c r="C745" s="38" t="s">
        <v>1899</v>
      </c>
      <c r="D745" s="32"/>
      <c r="E745" s="4">
        <v>0.0</v>
      </c>
      <c r="F745" s="5"/>
      <c r="G745" s="25">
        <v>340.0</v>
      </c>
      <c r="H745" s="143"/>
      <c r="I745" s="25">
        <v>700.0</v>
      </c>
      <c r="J745" s="9"/>
      <c r="K745" s="9"/>
      <c r="L745" s="26"/>
      <c r="M745" s="26"/>
      <c r="N745" s="26"/>
    </row>
    <row r="746" ht="12.75" hidden="1" customHeight="1">
      <c r="A746" s="27" t="s">
        <v>1900</v>
      </c>
      <c r="B746" s="38" t="s">
        <v>1901</v>
      </c>
      <c r="C746" s="38" t="s">
        <v>1902</v>
      </c>
      <c r="D746" s="32"/>
      <c r="E746" s="4">
        <v>0.0</v>
      </c>
      <c r="F746" s="5"/>
      <c r="G746" s="25">
        <v>325.0</v>
      </c>
      <c r="H746" s="143"/>
      <c r="I746" s="25">
        <v>700.0</v>
      </c>
      <c r="J746" s="9"/>
      <c r="K746" s="9"/>
      <c r="L746" s="26"/>
      <c r="M746" s="26"/>
      <c r="N746" s="26"/>
    </row>
    <row r="747" ht="12.75" hidden="1" customHeight="1">
      <c r="A747" s="22" t="s">
        <v>1903</v>
      </c>
      <c r="B747" s="38" t="s">
        <v>1904</v>
      </c>
      <c r="C747" s="38" t="s">
        <v>1902</v>
      </c>
      <c r="D747" s="51"/>
      <c r="E747" s="69">
        <v>0.0</v>
      </c>
      <c r="F747" s="29"/>
      <c r="G747" s="25">
        <v>325.0</v>
      </c>
      <c r="H747" s="143"/>
      <c r="I747" s="25">
        <v>700.0</v>
      </c>
      <c r="J747" s="9"/>
      <c r="K747" s="25"/>
      <c r="L747" s="67"/>
      <c r="M747" s="67"/>
      <c r="N747" s="67"/>
    </row>
    <row r="748" ht="12.75" hidden="1" customHeight="1">
      <c r="A748" s="22" t="s">
        <v>1905</v>
      </c>
      <c r="B748" s="38" t="s">
        <v>1906</v>
      </c>
      <c r="C748" s="38" t="s">
        <v>1907</v>
      </c>
      <c r="D748" s="51" t="s">
        <v>1908</v>
      </c>
      <c r="E748" s="69">
        <v>0.0</v>
      </c>
      <c r="F748" s="29"/>
      <c r="G748" s="25">
        <v>545.0</v>
      </c>
      <c r="H748" s="143"/>
      <c r="I748" s="25">
        <v>980.0</v>
      </c>
      <c r="J748" s="9"/>
      <c r="K748" s="25"/>
      <c r="L748" s="67"/>
      <c r="M748" s="67"/>
      <c r="N748" s="67"/>
    </row>
    <row r="749" ht="12.75" hidden="1" customHeight="1">
      <c r="A749" s="22" t="s">
        <v>1909</v>
      </c>
      <c r="B749" s="38" t="s">
        <v>1910</v>
      </c>
      <c r="C749" s="38" t="s">
        <v>1911</v>
      </c>
      <c r="D749" s="51"/>
      <c r="E749" s="69">
        <v>0.0</v>
      </c>
      <c r="F749" s="29"/>
      <c r="G749" s="25">
        <v>545.0</v>
      </c>
      <c r="H749" s="143"/>
      <c r="I749" s="25">
        <v>980.0</v>
      </c>
      <c r="J749" s="9"/>
      <c r="K749" s="25"/>
      <c r="L749" s="67"/>
      <c r="M749" s="67"/>
      <c r="N749" s="67"/>
    </row>
    <row r="750" ht="12.75" hidden="1" customHeight="1">
      <c r="A750" s="22" t="s">
        <v>1912</v>
      </c>
      <c r="B750" s="38" t="s">
        <v>1913</v>
      </c>
      <c r="C750" s="38" t="s">
        <v>1914</v>
      </c>
      <c r="D750" s="51" t="s">
        <v>1915</v>
      </c>
      <c r="E750" s="69">
        <v>0.0</v>
      </c>
      <c r="F750" s="29"/>
      <c r="G750" s="25">
        <v>545.0</v>
      </c>
      <c r="H750" s="143"/>
      <c r="I750" s="25">
        <v>980.0</v>
      </c>
      <c r="J750" s="9"/>
      <c r="K750" s="25"/>
      <c r="L750" s="67"/>
      <c r="M750" s="67"/>
      <c r="N750" s="67"/>
    </row>
    <row r="751" ht="12.75" hidden="1" customHeight="1">
      <c r="A751" s="22" t="s">
        <v>1916</v>
      </c>
      <c r="B751" s="38" t="s">
        <v>1917</v>
      </c>
      <c r="C751" s="38" t="s">
        <v>1918</v>
      </c>
      <c r="D751" s="51" t="s">
        <v>1915</v>
      </c>
      <c r="E751" s="69">
        <v>0.0</v>
      </c>
      <c r="F751" s="29"/>
      <c r="G751" s="25">
        <v>545.0</v>
      </c>
      <c r="H751" s="143"/>
      <c r="I751" s="25">
        <v>840.0</v>
      </c>
      <c r="J751" s="9"/>
      <c r="K751" s="25"/>
      <c r="L751" s="67"/>
      <c r="M751" s="67"/>
      <c r="N751" s="67"/>
    </row>
    <row r="752" ht="12.75" hidden="1" customHeight="1">
      <c r="A752" s="27" t="s">
        <v>1919</v>
      </c>
      <c r="B752" s="38" t="s">
        <v>1920</v>
      </c>
      <c r="C752" s="38" t="s">
        <v>1921</v>
      </c>
      <c r="D752" s="32" t="s">
        <v>1922</v>
      </c>
      <c r="E752" s="4">
        <v>0.0</v>
      </c>
      <c r="F752" s="5"/>
      <c r="G752" s="25">
        <v>545.0</v>
      </c>
      <c r="H752" s="143"/>
      <c r="I752" s="25">
        <v>840.0</v>
      </c>
      <c r="J752" s="9"/>
      <c r="K752" s="9"/>
      <c r="L752" s="26"/>
      <c r="M752" s="26"/>
      <c r="N752" s="26"/>
    </row>
    <row r="753" ht="12.75" hidden="1" customHeight="1">
      <c r="A753" s="27" t="s">
        <v>1923</v>
      </c>
      <c r="B753" s="53" t="s">
        <v>1924</v>
      </c>
      <c r="C753" s="53" t="s">
        <v>1925</v>
      </c>
      <c r="D753" s="32"/>
      <c r="E753" s="4">
        <v>0.0</v>
      </c>
      <c r="F753" s="5"/>
      <c r="G753" s="9">
        <v>650.0</v>
      </c>
      <c r="H753" s="32" t="s">
        <v>250</v>
      </c>
      <c r="I753" s="50" t="s">
        <v>250</v>
      </c>
      <c r="J753" s="25"/>
      <c r="K753" s="9"/>
      <c r="L753" s="26"/>
      <c r="M753" s="26"/>
      <c r="N753" s="26"/>
    </row>
    <row r="754" ht="12.75" hidden="1" customHeight="1">
      <c r="A754" s="27" t="s">
        <v>1926</v>
      </c>
      <c r="B754" s="55" t="s">
        <v>1927</v>
      </c>
      <c r="C754" s="27" t="s">
        <v>1928</v>
      </c>
      <c r="D754" s="28"/>
      <c r="E754" s="4"/>
      <c r="F754" s="5"/>
      <c r="G754" s="25"/>
      <c r="H754" s="32"/>
      <c r="I754" s="25"/>
      <c r="J754" s="25"/>
      <c r="K754" s="9"/>
      <c r="L754" s="26"/>
      <c r="M754" s="26"/>
      <c r="N754" s="26"/>
    </row>
    <row r="755" ht="12.75" hidden="1" customHeight="1">
      <c r="A755" s="27" t="s">
        <v>1929</v>
      </c>
      <c r="B755" s="55" t="s">
        <v>1930</v>
      </c>
      <c r="C755" s="27" t="s">
        <v>1931</v>
      </c>
      <c r="D755" s="32"/>
      <c r="E755" s="4">
        <v>0.0</v>
      </c>
      <c r="F755" s="5"/>
      <c r="G755" s="25">
        <v>990.0</v>
      </c>
      <c r="H755" s="32" t="s">
        <v>250</v>
      </c>
      <c r="I755" s="25">
        <v>1980.0</v>
      </c>
      <c r="J755" s="25"/>
      <c r="K755" s="9"/>
      <c r="L755" s="26"/>
      <c r="M755" s="26"/>
      <c r="N755" s="26"/>
    </row>
    <row r="756" ht="12.75" hidden="1" customHeight="1">
      <c r="A756" s="27" t="s">
        <v>1932</v>
      </c>
      <c r="B756" s="55" t="s">
        <v>1933</v>
      </c>
      <c r="C756" s="27" t="s">
        <v>1931</v>
      </c>
      <c r="D756" s="32"/>
      <c r="E756" s="4">
        <v>0.0</v>
      </c>
      <c r="F756" s="5"/>
      <c r="G756" s="25">
        <v>990.0</v>
      </c>
      <c r="H756" s="32" t="s">
        <v>250</v>
      </c>
      <c r="I756" s="25">
        <v>1980.0</v>
      </c>
      <c r="J756" s="25"/>
      <c r="K756" s="9"/>
      <c r="L756" s="26"/>
      <c r="M756" s="26"/>
      <c r="N756" s="26"/>
    </row>
    <row r="757" ht="12.75" hidden="1" customHeight="1">
      <c r="A757" s="22" t="s">
        <v>1934</v>
      </c>
      <c r="B757" s="55" t="s">
        <v>1935</v>
      </c>
      <c r="C757" s="22" t="s">
        <v>1936</v>
      </c>
      <c r="D757" s="51"/>
      <c r="E757" s="69">
        <v>0.0</v>
      </c>
      <c r="F757" s="29"/>
      <c r="G757" s="25">
        <v>420.0</v>
      </c>
      <c r="H757" s="32" t="s">
        <v>250</v>
      </c>
      <c r="I757" s="25">
        <v>800.0</v>
      </c>
      <c r="J757" s="25"/>
      <c r="K757" s="25"/>
      <c r="L757" s="67"/>
      <c r="M757" s="67"/>
      <c r="N757" s="67"/>
    </row>
    <row r="758" ht="12.75" hidden="1" customHeight="1">
      <c r="A758" s="22" t="s">
        <v>1937</v>
      </c>
      <c r="B758" s="55" t="s">
        <v>1938</v>
      </c>
      <c r="C758" s="27" t="s">
        <v>892</v>
      </c>
      <c r="D758" s="51" t="s">
        <v>1939</v>
      </c>
      <c r="E758" s="4">
        <v>0.0</v>
      </c>
      <c r="F758" s="5"/>
      <c r="G758" s="25">
        <v>2250.0</v>
      </c>
      <c r="H758" s="58" t="s">
        <v>250</v>
      </c>
      <c r="I758" s="31">
        <v>4680.0</v>
      </c>
      <c r="J758" s="58"/>
      <c r="K758" s="9"/>
      <c r="L758" s="26"/>
      <c r="M758" s="26"/>
      <c r="N758" s="26"/>
    </row>
    <row r="759" ht="12.75" hidden="1" customHeight="1">
      <c r="A759" s="27" t="s">
        <v>1940</v>
      </c>
      <c r="B759" s="55" t="s">
        <v>1941</v>
      </c>
      <c r="C759" s="27" t="s">
        <v>1942</v>
      </c>
      <c r="D759" s="51"/>
      <c r="E759" s="4">
        <v>0.0</v>
      </c>
      <c r="F759" s="5"/>
      <c r="G759" s="25">
        <v>940.0</v>
      </c>
      <c r="H759" s="58" t="s">
        <v>250</v>
      </c>
      <c r="I759" s="31">
        <v>1680.0</v>
      </c>
      <c r="J759" s="9"/>
      <c r="K759" s="9"/>
      <c r="L759" s="26"/>
      <c r="M759" s="26"/>
      <c r="N759" s="26"/>
    </row>
    <row r="760" ht="12.75" hidden="1" customHeight="1">
      <c r="A760" s="27" t="s">
        <v>1943</v>
      </c>
      <c r="B760" s="55" t="s">
        <v>1944</v>
      </c>
      <c r="C760" s="27" t="s">
        <v>1945</v>
      </c>
      <c r="D760" s="92" t="s">
        <v>1946</v>
      </c>
      <c r="E760" s="4">
        <v>0.0</v>
      </c>
      <c r="F760" s="5"/>
      <c r="G760" s="25"/>
      <c r="H760" s="58" t="s">
        <v>250</v>
      </c>
      <c r="I760" s="31"/>
      <c r="J760" s="9"/>
      <c r="K760" s="9"/>
      <c r="L760" s="26"/>
      <c r="M760" s="26"/>
      <c r="N760" s="26"/>
    </row>
    <row r="761" ht="12.75" hidden="1" customHeight="1">
      <c r="A761" s="27" t="s">
        <v>1947</v>
      </c>
      <c r="B761" s="55" t="s">
        <v>1948</v>
      </c>
      <c r="C761" s="27" t="s">
        <v>1949</v>
      </c>
      <c r="D761" s="51" t="s">
        <v>1950</v>
      </c>
      <c r="E761" s="4">
        <v>0.0</v>
      </c>
      <c r="F761" s="5"/>
      <c r="G761" s="25">
        <v>540.0</v>
      </c>
      <c r="H761" s="58" t="s">
        <v>250</v>
      </c>
      <c r="I761" s="31">
        <v>1080.0</v>
      </c>
      <c r="J761" s="9"/>
      <c r="K761" s="9"/>
      <c r="L761" s="26"/>
      <c r="M761" s="26"/>
      <c r="N761" s="26"/>
    </row>
    <row r="762" ht="12.75" hidden="1" customHeight="1">
      <c r="A762" s="53" t="s">
        <v>1951</v>
      </c>
      <c r="B762" s="53" t="s">
        <v>1952</v>
      </c>
      <c r="C762" s="27" t="s">
        <v>1953</v>
      </c>
      <c r="D762" s="51" t="s">
        <v>1954</v>
      </c>
      <c r="E762" s="4">
        <v>0.0</v>
      </c>
      <c r="F762" s="5"/>
      <c r="G762" s="9">
        <v>650.0</v>
      </c>
      <c r="H762" s="32" t="s">
        <v>250</v>
      </c>
      <c r="I762" s="25">
        <v>1300.0</v>
      </c>
      <c r="J762" s="25">
        <v>650.0</v>
      </c>
      <c r="K762" s="9"/>
      <c r="L762" s="26"/>
      <c r="M762" s="26"/>
      <c r="N762" s="26"/>
    </row>
    <row r="763" ht="12.75" hidden="1" customHeight="1">
      <c r="A763" s="53" t="s">
        <v>1955</v>
      </c>
      <c r="B763" s="53" t="s">
        <v>1956</v>
      </c>
      <c r="C763" s="27" t="s">
        <v>1957</v>
      </c>
      <c r="D763" s="51" t="s">
        <v>1958</v>
      </c>
      <c r="E763" s="4">
        <v>0.0</v>
      </c>
      <c r="F763" s="5"/>
      <c r="G763" s="9">
        <v>455.0</v>
      </c>
      <c r="H763" s="32" t="s">
        <v>254</v>
      </c>
      <c r="I763" s="25">
        <v>1000.0</v>
      </c>
      <c r="J763" s="25">
        <v>417.0</v>
      </c>
      <c r="K763" s="9"/>
      <c r="L763" s="26"/>
      <c r="M763" s="26"/>
      <c r="N763" s="26"/>
    </row>
    <row r="764" ht="12.75" hidden="1" customHeight="1">
      <c r="A764" s="53" t="s">
        <v>1959</v>
      </c>
      <c r="B764" s="53" t="s">
        <v>1960</v>
      </c>
      <c r="C764" s="27" t="s">
        <v>1961</v>
      </c>
      <c r="D764" s="28"/>
      <c r="E764" s="4">
        <v>0.0</v>
      </c>
      <c r="F764" s="5"/>
      <c r="G764" s="9">
        <v>325.0</v>
      </c>
      <c r="H764" s="32" t="s">
        <v>254</v>
      </c>
      <c r="I764" s="25">
        <v>750.0</v>
      </c>
      <c r="J764" s="25">
        <v>298.0</v>
      </c>
      <c r="K764" s="9"/>
      <c r="L764" s="26"/>
      <c r="M764" s="26"/>
      <c r="N764" s="26"/>
    </row>
    <row r="765" ht="12.75" hidden="1" customHeight="1">
      <c r="A765" s="53" t="s">
        <v>1962</v>
      </c>
      <c r="B765" s="53" t="s">
        <v>1963</v>
      </c>
      <c r="C765" s="27" t="s">
        <v>1964</v>
      </c>
      <c r="D765" s="28"/>
      <c r="E765" s="4">
        <v>0.0</v>
      </c>
      <c r="F765" s="5"/>
      <c r="G765" s="9">
        <v>250.0</v>
      </c>
      <c r="H765" s="32" t="s">
        <v>254</v>
      </c>
      <c r="I765" s="25">
        <v>600.0</v>
      </c>
      <c r="J765" s="25">
        <v>229.0</v>
      </c>
      <c r="K765" s="9">
        <v>400.0</v>
      </c>
      <c r="L765" s="26"/>
      <c r="M765" s="26"/>
      <c r="N765" s="26"/>
    </row>
    <row r="766" ht="12.75" hidden="1" customHeight="1">
      <c r="A766" s="53" t="s">
        <v>1965</v>
      </c>
      <c r="B766" s="53" t="s">
        <v>1966</v>
      </c>
      <c r="C766" s="27" t="s">
        <v>1967</v>
      </c>
      <c r="D766" s="28"/>
      <c r="E766" s="4">
        <v>0.0</v>
      </c>
      <c r="F766" s="5"/>
      <c r="G766" s="25">
        <v>250.0</v>
      </c>
      <c r="H766" s="32" t="s">
        <v>254</v>
      </c>
      <c r="I766" s="25">
        <v>600.0</v>
      </c>
      <c r="J766" s="9">
        <v>229.0</v>
      </c>
      <c r="K766" s="9"/>
      <c r="L766" s="26"/>
      <c r="M766" s="26"/>
      <c r="N766" s="26"/>
    </row>
    <row r="767" ht="12.75" hidden="1" customHeight="1">
      <c r="A767" s="144" t="s">
        <v>1968</v>
      </c>
      <c r="B767" s="2" t="s">
        <v>1969</v>
      </c>
      <c r="C767" s="2" t="s">
        <v>1970</v>
      </c>
      <c r="D767" s="52" t="s">
        <v>1971</v>
      </c>
      <c r="E767" s="4">
        <v>0.0</v>
      </c>
      <c r="F767" s="5"/>
      <c r="G767" s="8">
        <v>4300.0</v>
      </c>
      <c r="H767" s="71"/>
      <c r="I767" s="8"/>
      <c r="J767" s="9"/>
      <c r="K767" s="9"/>
      <c r="L767" s="26"/>
      <c r="M767" s="26"/>
      <c r="N767" s="26"/>
    </row>
    <row r="768" ht="12.75" hidden="1" customHeight="1">
      <c r="A768" s="38" t="s">
        <v>1972</v>
      </c>
      <c r="B768" s="38" t="s">
        <v>1973</v>
      </c>
      <c r="C768" s="27" t="s">
        <v>1974</v>
      </c>
      <c r="D768" s="32"/>
      <c r="E768" s="4">
        <v>0.0</v>
      </c>
      <c r="F768" s="5"/>
      <c r="G768" s="25">
        <v>1400.0</v>
      </c>
      <c r="H768" s="51" t="s">
        <v>250</v>
      </c>
      <c r="I768" s="25">
        <v>2580.0</v>
      </c>
      <c r="J768" s="9">
        <v>1400.0</v>
      </c>
      <c r="K768" s="9"/>
      <c r="L768" s="26"/>
      <c r="M768" s="26"/>
      <c r="N768" s="26"/>
    </row>
    <row r="769" ht="12.75" hidden="1" customHeight="1">
      <c r="A769" s="38" t="s">
        <v>1975</v>
      </c>
      <c r="B769" s="38" t="s">
        <v>1976</v>
      </c>
      <c r="C769" s="27" t="s">
        <v>1977</v>
      </c>
      <c r="D769" s="32" t="s">
        <v>1978</v>
      </c>
      <c r="E769" s="4">
        <v>0.0</v>
      </c>
      <c r="F769" s="5"/>
      <c r="G769" s="25">
        <v>580.0</v>
      </c>
      <c r="H769" s="51" t="s">
        <v>250</v>
      </c>
      <c r="I769" s="25">
        <v>1280.0</v>
      </c>
      <c r="J769" s="9">
        <v>580.0</v>
      </c>
      <c r="K769" s="9"/>
      <c r="L769" s="26"/>
      <c r="M769" s="26"/>
      <c r="N769" s="26"/>
    </row>
    <row r="770" ht="12.75" hidden="1" customHeight="1">
      <c r="A770" s="38" t="s">
        <v>1979</v>
      </c>
      <c r="B770" s="38" t="s">
        <v>1980</v>
      </c>
      <c r="C770" s="27" t="s">
        <v>1981</v>
      </c>
      <c r="D770" s="32"/>
      <c r="E770" s="4">
        <v>0.0</v>
      </c>
      <c r="F770" s="5"/>
      <c r="G770" s="25">
        <v>1770.0</v>
      </c>
      <c r="H770" s="51" t="s">
        <v>250</v>
      </c>
      <c r="I770" s="25">
        <v>3280.0</v>
      </c>
      <c r="J770" s="9">
        <v>1770.0</v>
      </c>
      <c r="K770" s="9"/>
      <c r="L770" s="26"/>
      <c r="M770" s="26"/>
      <c r="N770" s="26"/>
    </row>
    <row r="771" ht="12.75" hidden="1" customHeight="1">
      <c r="A771" s="27" t="s">
        <v>1982</v>
      </c>
      <c r="B771" s="55" t="s">
        <v>1983</v>
      </c>
      <c r="C771" s="27" t="s">
        <v>1984</v>
      </c>
      <c r="D771" s="32" t="s">
        <v>1985</v>
      </c>
      <c r="E771" s="4">
        <v>0.0</v>
      </c>
      <c r="F771" s="5"/>
      <c r="G771" s="25">
        <v>5500.0</v>
      </c>
      <c r="H771" s="51" t="s">
        <v>250</v>
      </c>
      <c r="I771" s="25">
        <v>9800.0</v>
      </c>
      <c r="J771" s="58"/>
      <c r="K771" s="9">
        <v>6800.0</v>
      </c>
      <c r="L771" s="26"/>
      <c r="M771" s="26"/>
      <c r="N771" s="26"/>
    </row>
    <row r="772" ht="12.75" hidden="1" customHeight="1">
      <c r="A772" s="27" t="s">
        <v>1986</v>
      </c>
      <c r="B772" s="27" t="s">
        <v>1987</v>
      </c>
      <c r="C772" s="27" t="s">
        <v>1988</v>
      </c>
      <c r="D772" s="3" t="s">
        <v>1989</v>
      </c>
      <c r="E772" s="4">
        <v>0.0</v>
      </c>
      <c r="F772" s="5"/>
      <c r="G772" s="9">
        <v>345.0</v>
      </c>
      <c r="H772" s="51" t="s">
        <v>254</v>
      </c>
      <c r="I772" s="25">
        <v>750.0</v>
      </c>
      <c r="J772" s="9">
        <v>316.0</v>
      </c>
      <c r="K772" s="9"/>
      <c r="L772" s="26"/>
      <c r="M772" s="26"/>
      <c r="N772" s="26"/>
    </row>
    <row r="773" ht="12.75" hidden="1" customHeight="1">
      <c r="A773" s="27" t="s">
        <v>1990</v>
      </c>
      <c r="B773" s="27" t="s">
        <v>1991</v>
      </c>
      <c r="C773" s="27" t="s">
        <v>1412</v>
      </c>
      <c r="D773" s="3" t="s">
        <v>1992</v>
      </c>
      <c r="E773" s="4">
        <v>0.0</v>
      </c>
      <c r="F773" s="5"/>
      <c r="G773" s="9">
        <v>285.0</v>
      </c>
      <c r="H773" s="32" t="s">
        <v>254</v>
      </c>
      <c r="I773" s="25">
        <v>600.0</v>
      </c>
      <c r="J773" s="9">
        <v>261.0</v>
      </c>
      <c r="K773" s="9">
        <v>400.0</v>
      </c>
      <c r="L773" s="26"/>
      <c r="M773" s="26"/>
      <c r="N773" s="26"/>
    </row>
    <row r="774" ht="12.75" hidden="1" customHeight="1">
      <c r="A774" s="53" t="s">
        <v>1993</v>
      </c>
      <c r="B774" s="38" t="s">
        <v>1994</v>
      </c>
      <c r="C774" s="27" t="s">
        <v>1995</v>
      </c>
      <c r="D774" s="3" t="s">
        <v>1996</v>
      </c>
      <c r="E774" s="4">
        <v>0.0</v>
      </c>
      <c r="F774" s="5"/>
      <c r="G774" s="25">
        <v>530.0</v>
      </c>
      <c r="H774" s="51" t="s">
        <v>250</v>
      </c>
      <c r="I774" s="50">
        <v>980.0</v>
      </c>
      <c r="J774" s="25"/>
      <c r="K774" s="25"/>
      <c r="L774" s="26"/>
      <c r="M774" s="26"/>
      <c r="N774" s="26"/>
    </row>
    <row r="775" ht="12.75" hidden="1" customHeight="1">
      <c r="A775" s="53" t="s">
        <v>1997</v>
      </c>
      <c r="B775" s="38" t="s">
        <v>1998</v>
      </c>
      <c r="C775" s="27" t="s">
        <v>1995</v>
      </c>
      <c r="D775" s="3" t="s">
        <v>1999</v>
      </c>
      <c r="E775" s="4">
        <v>0.0</v>
      </c>
      <c r="F775" s="5"/>
      <c r="G775" s="25">
        <v>530.0</v>
      </c>
      <c r="H775" s="51" t="s">
        <v>250</v>
      </c>
      <c r="I775" s="50">
        <v>980.0</v>
      </c>
      <c r="J775" s="25"/>
      <c r="K775" s="25"/>
      <c r="L775" s="26"/>
      <c r="M775" s="26"/>
      <c r="N775" s="26"/>
    </row>
    <row r="776" ht="12.75" hidden="1" customHeight="1">
      <c r="A776" s="53" t="s">
        <v>2000</v>
      </c>
      <c r="B776" s="38" t="s">
        <v>2001</v>
      </c>
      <c r="C776" s="27" t="s">
        <v>2002</v>
      </c>
      <c r="D776" s="3"/>
      <c r="E776" s="4">
        <v>0.0</v>
      </c>
      <c r="F776" s="5"/>
      <c r="G776" s="25">
        <v>530.0</v>
      </c>
      <c r="H776" s="51" t="s">
        <v>250</v>
      </c>
      <c r="I776" s="50">
        <v>980.0</v>
      </c>
      <c r="J776" s="25"/>
      <c r="K776" s="25"/>
      <c r="L776" s="26"/>
      <c r="M776" s="26"/>
      <c r="N776" s="26"/>
    </row>
    <row r="777" ht="12.75" hidden="1" customHeight="1">
      <c r="A777" s="53" t="s">
        <v>2003</v>
      </c>
      <c r="B777" s="38" t="s">
        <v>2004</v>
      </c>
      <c r="C777" s="27" t="s">
        <v>1512</v>
      </c>
      <c r="D777" s="3" t="s">
        <v>2005</v>
      </c>
      <c r="E777" s="4">
        <v>0.0</v>
      </c>
      <c r="F777" s="5"/>
      <c r="G777" s="25">
        <v>2620.0</v>
      </c>
      <c r="H777" s="51" t="s">
        <v>250</v>
      </c>
      <c r="I777" s="50">
        <v>4860.0</v>
      </c>
      <c r="J777" s="25"/>
      <c r="K777" s="25"/>
      <c r="L777" s="26"/>
      <c r="M777" s="26"/>
      <c r="N777" s="26"/>
    </row>
    <row r="778" ht="12.75" hidden="1" customHeight="1">
      <c r="A778" s="53" t="s">
        <v>2006</v>
      </c>
      <c r="B778" s="38" t="s">
        <v>2007</v>
      </c>
      <c r="C778" s="27" t="s">
        <v>2008</v>
      </c>
      <c r="D778" s="3"/>
      <c r="E778" s="4">
        <v>0.0</v>
      </c>
      <c r="F778" s="5"/>
      <c r="G778" s="25">
        <v>420.0</v>
      </c>
      <c r="H778" s="51" t="s">
        <v>250</v>
      </c>
      <c r="I778" s="50">
        <v>780.0</v>
      </c>
      <c r="J778" s="25"/>
      <c r="K778" s="25"/>
      <c r="L778" s="26"/>
      <c r="M778" s="26"/>
      <c r="N778" s="26"/>
    </row>
    <row r="779" ht="12.75" hidden="1" customHeight="1">
      <c r="A779" s="27" t="s">
        <v>2009</v>
      </c>
      <c r="B779" s="55" t="s">
        <v>2010</v>
      </c>
      <c r="C779" s="27" t="s">
        <v>2011</v>
      </c>
      <c r="D779" s="32"/>
      <c r="E779" s="4">
        <v>0.0</v>
      </c>
      <c r="F779" s="5"/>
      <c r="G779" s="25"/>
      <c r="H779" s="37"/>
      <c r="I779" s="8"/>
      <c r="J779" s="58">
        <v>179.0</v>
      </c>
      <c r="K779" s="9"/>
      <c r="L779" s="26"/>
      <c r="M779" s="26"/>
      <c r="N779" s="26"/>
    </row>
    <row r="780" ht="12.75" hidden="1" customHeight="1">
      <c r="A780" s="27" t="s">
        <v>2012</v>
      </c>
      <c r="B780" s="55" t="s">
        <v>2013</v>
      </c>
      <c r="C780" s="27" t="s">
        <v>239</v>
      </c>
      <c r="D780" s="28"/>
      <c r="E780" s="4">
        <v>0.0</v>
      </c>
      <c r="F780" s="5"/>
      <c r="G780" s="9">
        <v>190.0</v>
      </c>
      <c r="H780" s="52" t="s">
        <v>2014</v>
      </c>
      <c r="I780" s="25"/>
      <c r="J780" s="50"/>
      <c r="K780" s="9"/>
      <c r="L780" s="26"/>
      <c r="M780" s="26"/>
      <c r="N780" s="26"/>
    </row>
    <row r="781" ht="12.75" hidden="1" customHeight="1">
      <c r="A781" s="27" t="s">
        <v>2015</v>
      </c>
      <c r="B781" s="55" t="s">
        <v>2016</v>
      </c>
      <c r="C781" s="27" t="s">
        <v>243</v>
      </c>
      <c r="D781" s="28"/>
      <c r="E781" s="4">
        <v>0.0</v>
      </c>
      <c r="F781" s="5"/>
      <c r="G781" s="9">
        <v>180.0</v>
      </c>
      <c r="H781" s="32"/>
      <c r="I781" s="25">
        <v>500.0</v>
      </c>
      <c r="J781" s="50">
        <v>157.0</v>
      </c>
      <c r="K781" s="9">
        <v>300.0</v>
      </c>
      <c r="L781" s="26"/>
      <c r="M781" s="26"/>
      <c r="N781" s="26"/>
    </row>
    <row r="782" ht="12.75" hidden="1" customHeight="1">
      <c r="A782" s="22" t="s">
        <v>2017</v>
      </c>
      <c r="B782" s="55" t="s">
        <v>2018</v>
      </c>
      <c r="C782" s="27" t="s">
        <v>2019</v>
      </c>
      <c r="D782" s="32"/>
      <c r="E782" s="4">
        <v>0.0</v>
      </c>
      <c r="F782" s="5"/>
      <c r="G782" s="25">
        <v>630.0</v>
      </c>
      <c r="H782" s="51" t="s">
        <v>279</v>
      </c>
      <c r="I782" s="25">
        <v>1280.0</v>
      </c>
      <c r="J782" s="25">
        <v>582.0</v>
      </c>
      <c r="K782" s="9"/>
      <c r="L782" s="26"/>
      <c r="M782" s="26"/>
      <c r="N782" s="26"/>
    </row>
    <row r="783" ht="12.75" hidden="1" customHeight="1">
      <c r="A783" s="53" t="s">
        <v>2020</v>
      </c>
      <c r="B783" s="53" t="s">
        <v>2021</v>
      </c>
      <c r="C783" s="27" t="s">
        <v>2022</v>
      </c>
      <c r="D783" s="32"/>
      <c r="E783" s="4">
        <v>0.0</v>
      </c>
      <c r="F783" s="5"/>
      <c r="G783" s="25">
        <v>480.0</v>
      </c>
      <c r="H783" s="51" t="s">
        <v>250</v>
      </c>
      <c r="I783" s="25">
        <v>900.0</v>
      </c>
      <c r="J783" s="25"/>
      <c r="K783" s="9"/>
      <c r="L783" s="26"/>
      <c r="M783" s="26"/>
      <c r="N783" s="26"/>
    </row>
    <row r="784" ht="12.75" hidden="1" customHeight="1">
      <c r="A784" s="38" t="s">
        <v>2023</v>
      </c>
      <c r="B784" s="38" t="s">
        <v>2024</v>
      </c>
      <c r="C784" s="27" t="s">
        <v>2025</v>
      </c>
      <c r="D784" s="32"/>
      <c r="E784" s="4">
        <v>0.0</v>
      </c>
      <c r="F784" s="5"/>
      <c r="G784" s="25">
        <v>580.0</v>
      </c>
      <c r="H784" s="51" t="s">
        <v>250</v>
      </c>
      <c r="I784" s="25">
        <v>1280.0</v>
      </c>
      <c r="J784" s="9">
        <v>580.0</v>
      </c>
      <c r="K784" s="9"/>
      <c r="L784" s="26"/>
      <c r="M784" s="26"/>
      <c r="N784" s="26"/>
    </row>
    <row r="785" ht="12.75" hidden="1" customHeight="1">
      <c r="A785" s="38" t="s">
        <v>2026</v>
      </c>
      <c r="B785" s="38" t="s">
        <v>2027</v>
      </c>
      <c r="C785" s="27" t="s">
        <v>2028</v>
      </c>
      <c r="D785" s="32"/>
      <c r="E785" s="4">
        <v>0.0</v>
      </c>
      <c r="F785" s="5"/>
      <c r="G785" s="25"/>
      <c r="H785" s="51" t="s">
        <v>250</v>
      </c>
      <c r="I785" s="25"/>
      <c r="J785" s="9"/>
      <c r="K785" s="9"/>
      <c r="L785" s="26"/>
      <c r="M785" s="26"/>
      <c r="N785" s="26"/>
    </row>
    <row r="786" ht="12.75" hidden="1" customHeight="1">
      <c r="A786" s="2" t="s">
        <v>2029</v>
      </c>
      <c r="B786" s="2" t="s">
        <v>2030</v>
      </c>
      <c r="C786" s="2" t="s">
        <v>2031</v>
      </c>
      <c r="D786" s="32"/>
      <c r="E786" s="4"/>
      <c r="F786" s="5"/>
      <c r="G786" s="25"/>
      <c r="H786" s="32"/>
      <c r="I786" s="25"/>
      <c r="J786" s="9"/>
      <c r="K786" s="9"/>
      <c r="L786" s="26"/>
      <c r="M786" s="26"/>
      <c r="N786" s="26"/>
    </row>
    <row r="787" ht="12.75" hidden="1" customHeight="1">
      <c r="A787" s="2" t="s">
        <v>2032</v>
      </c>
      <c r="B787" s="2" t="s">
        <v>2033</v>
      </c>
      <c r="C787" s="2" t="s">
        <v>2034</v>
      </c>
      <c r="D787" s="32"/>
      <c r="E787" s="4"/>
      <c r="F787" s="5"/>
      <c r="G787" s="25"/>
      <c r="H787" s="32"/>
      <c r="I787" s="25"/>
      <c r="J787" s="9"/>
      <c r="K787" s="9"/>
      <c r="L787" s="26"/>
      <c r="M787" s="26"/>
      <c r="N787" s="26"/>
    </row>
    <row r="788" ht="12.75" hidden="1" customHeight="1">
      <c r="A788" s="27" t="s">
        <v>2035</v>
      </c>
      <c r="B788" s="55" t="s">
        <v>2036</v>
      </c>
      <c r="C788" s="27" t="s">
        <v>633</v>
      </c>
      <c r="D788" s="32"/>
      <c r="E788" s="69">
        <v>0.0</v>
      </c>
      <c r="F788" s="29"/>
      <c r="G788" s="25">
        <v>250.0</v>
      </c>
      <c r="H788" s="52" t="s">
        <v>1874</v>
      </c>
      <c r="I788" s="25"/>
      <c r="J788" s="33"/>
      <c r="K788" s="33"/>
      <c r="L788" s="26"/>
      <c r="M788" s="26"/>
      <c r="N788" s="26"/>
    </row>
    <row r="789" ht="12.75" hidden="1" customHeight="1">
      <c r="A789" s="27" t="s">
        <v>2037</v>
      </c>
      <c r="B789" s="55" t="s">
        <v>2038</v>
      </c>
      <c r="C789" s="27" t="s">
        <v>2039</v>
      </c>
      <c r="D789" s="32" t="s">
        <v>986</v>
      </c>
      <c r="E789" s="4">
        <v>0.0</v>
      </c>
      <c r="F789" s="5"/>
      <c r="G789" s="25">
        <v>3200.0</v>
      </c>
      <c r="H789" s="51" t="s">
        <v>254</v>
      </c>
      <c r="I789" s="25"/>
      <c r="J789" s="25">
        <f>G789*11/12</f>
        <v>2933.333333</v>
      </c>
      <c r="K789" s="9"/>
      <c r="L789" s="26"/>
      <c r="M789" s="26"/>
      <c r="N789" s="26"/>
    </row>
    <row r="790" ht="12.75" hidden="1" customHeight="1">
      <c r="A790" s="22" t="s">
        <v>2040</v>
      </c>
      <c r="B790" s="2" t="s">
        <v>2041</v>
      </c>
      <c r="C790" s="2" t="s">
        <v>2042</v>
      </c>
      <c r="D790" s="28"/>
      <c r="E790" s="4">
        <v>0.0</v>
      </c>
      <c r="F790" s="5"/>
      <c r="G790" s="25">
        <v>950.0</v>
      </c>
      <c r="H790" s="32" t="s">
        <v>250</v>
      </c>
      <c r="I790" s="33">
        <v>1680.0</v>
      </c>
      <c r="J790" s="33"/>
      <c r="K790" s="82"/>
      <c r="L790" s="26"/>
      <c r="M790" s="26"/>
      <c r="N790" s="26"/>
    </row>
    <row r="791" ht="12.75" hidden="1" customHeight="1">
      <c r="A791" s="22" t="s">
        <v>2043</v>
      </c>
      <c r="B791" s="55" t="s">
        <v>2044</v>
      </c>
      <c r="C791" s="22" t="s">
        <v>2045</v>
      </c>
      <c r="D791" s="51"/>
      <c r="E791" s="69">
        <v>0.0</v>
      </c>
      <c r="F791" s="29"/>
      <c r="G791" s="25">
        <v>340.0</v>
      </c>
      <c r="H791" s="51" t="s">
        <v>279</v>
      </c>
      <c r="I791" s="25">
        <v>750.0</v>
      </c>
      <c r="J791" s="58">
        <f>G791*11/12</f>
        <v>311.6666667</v>
      </c>
      <c r="K791" s="31"/>
      <c r="L791" s="67"/>
      <c r="M791" s="67"/>
      <c r="N791" s="67"/>
    </row>
    <row r="792" ht="12.75" hidden="1" customHeight="1">
      <c r="A792" s="2" t="s">
        <v>2046</v>
      </c>
      <c r="B792" s="2" t="s">
        <v>2047</v>
      </c>
      <c r="C792" s="2" t="s">
        <v>2048</v>
      </c>
      <c r="D792" s="3"/>
      <c r="E792" s="4">
        <v>0.0</v>
      </c>
      <c r="F792" s="5"/>
      <c r="G792" s="25">
        <v>545.0</v>
      </c>
      <c r="H792" s="32"/>
      <c r="I792" s="25">
        <v>980.0</v>
      </c>
      <c r="J792" s="9"/>
      <c r="K792" s="9"/>
      <c r="L792" s="26"/>
      <c r="M792" s="26"/>
      <c r="N792" s="26"/>
    </row>
    <row r="793" ht="12.75" hidden="1" customHeight="1">
      <c r="A793" s="22" t="s">
        <v>2049</v>
      </c>
      <c r="B793" s="53" t="s">
        <v>2050</v>
      </c>
      <c r="C793" s="27" t="s">
        <v>989</v>
      </c>
      <c r="D793" s="32" t="s">
        <v>1349</v>
      </c>
      <c r="E793" s="4">
        <v>0.0</v>
      </c>
      <c r="F793" s="5"/>
      <c r="G793" s="8">
        <v>4200.0</v>
      </c>
      <c r="H793" s="32" t="s">
        <v>250</v>
      </c>
      <c r="I793" s="25"/>
      <c r="J793" s="25"/>
      <c r="K793" s="9"/>
      <c r="L793" s="26"/>
      <c r="M793" s="26"/>
      <c r="N793" s="26"/>
    </row>
    <row r="794" ht="12.75" hidden="1" customHeight="1">
      <c r="A794" s="27" t="s">
        <v>2051</v>
      </c>
      <c r="B794" s="55" t="s">
        <v>2052</v>
      </c>
      <c r="C794" s="27" t="s">
        <v>2053</v>
      </c>
      <c r="D794" s="28"/>
      <c r="E794" s="69">
        <v>0.0</v>
      </c>
      <c r="F794" s="29"/>
      <c r="G794" s="25">
        <v>195.0</v>
      </c>
      <c r="H794" s="32" t="s">
        <v>279</v>
      </c>
      <c r="I794" s="25">
        <v>500.0</v>
      </c>
      <c r="J794" s="58">
        <f>G794*11/12</f>
        <v>178.75</v>
      </c>
      <c r="K794" s="33"/>
      <c r="L794" s="26"/>
      <c r="M794" s="26"/>
      <c r="N794" s="26"/>
    </row>
    <row r="795" ht="12.75" hidden="1" customHeight="1">
      <c r="A795" s="27" t="s">
        <v>2054</v>
      </c>
      <c r="B795" s="55" t="s">
        <v>2055</v>
      </c>
      <c r="C795" s="27" t="s">
        <v>2011</v>
      </c>
      <c r="D795" s="32"/>
      <c r="E795" s="4">
        <v>0.0</v>
      </c>
      <c r="F795" s="5"/>
      <c r="G795" s="6"/>
      <c r="H795" s="37"/>
      <c r="I795" s="8"/>
      <c r="J795" s="58">
        <v>179.0</v>
      </c>
      <c r="K795" s="9"/>
      <c r="L795" s="26"/>
      <c r="M795" s="26"/>
      <c r="N795" s="26"/>
    </row>
    <row r="796" ht="12.75" hidden="1" customHeight="1">
      <c r="A796" s="27" t="s">
        <v>2056</v>
      </c>
      <c r="B796" s="55" t="s">
        <v>2057</v>
      </c>
      <c r="C796" s="27" t="s">
        <v>659</v>
      </c>
      <c r="D796" s="28"/>
      <c r="E796" s="69">
        <v>0.0</v>
      </c>
      <c r="F796" s="29"/>
      <c r="G796" s="25">
        <v>220.0</v>
      </c>
      <c r="H796" s="32" t="s">
        <v>279</v>
      </c>
      <c r="I796" s="25"/>
      <c r="J796" s="58"/>
      <c r="K796" s="33"/>
      <c r="L796" s="26"/>
      <c r="M796" s="26"/>
      <c r="N796" s="26"/>
    </row>
    <row r="797" ht="12.75" hidden="1" customHeight="1">
      <c r="A797" s="27" t="s">
        <v>2058</v>
      </c>
      <c r="B797" s="55" t="s">
        <v>2059</v>
      </c>
      <c r="C797" s="27" t="s">
        <v>2053</v>
      </c>
      <c r="D797" s="28"/>
      <c r="E797" s="69">
        <v>0.0</v>
      </c>
      <c r="F797" s="29"/>
      <c r="G797" s="25">
        <v>200.0</v>
      </c>
      <c r="H797" s="32" t="s">
        <v>279</v>
      </c>
      <c r="I797" s="25"/>
      <c r="J797" s="58">
        <f>G797*11/12</f>
        <v>183.3333333</v>
      </c>
      <c r="K797" s="33"/>
      <c r="L797" s="26"/>
      <c r="M797" s="26"/>
      <c r="N797" s="26"/>
    </row>
    <row r="798" ht="12.75" hidden="1" customHeight="1">
      <c r="A798" s="22" t="s">
        <v>2060</v>
      </c>
      <c r="B798" s="38" t="s">
        <v>2061</v>
      </c>
      <c r="C798" s="38" t="s">
        <v>2062</v>
      </c>
      <c r="D798" s="51" t="s">
        <v>2063</v>
      </c>
      <c r="E798" s="69">
        <v>0.0</v>
      </c>
      <c r="F798" s="29"/>
      <c r="G798" s="25">
        <v>525.0</v>
      </c>
      <c r="H798" s="32"/>
      <c r="I798" s="25">
        <v>980.0</v>
      </c>
      <c r="J798" s="9"/>
      <c r="K798" s="25"/>
      <c r="L798" s="67"/>
      <c r="M798" s="67"/>
      <c r="N798" s="67"/>
    </row>
    <row r="799" ht="12.75" hidden="1" customHeight="1">
      <c r="A799" s="22" t="s">
        <v>2064</v>
      </c>
      <c r="B799" s="38" t="s">
        <v>2065</v>
      </c>
      <c r="C799" s="38" t="s">
        <v>2066</v>
      </c>
      <c r="D799" s="51"/>
      <c r="E799" s="69">
        <v>0.0</v>
      </c>
      <c r="F799" s="29"/>
      <c r="G799" s="25">
        <v>545.0</v>
      </c>
      <c r="H799" s="32"/>
      <c r="I799" s="25">
        <v>980.0</v>
      </c>
      <c r="J799" s="9"/>
      <c r="K799" s="25"/>
      <c r="L799" s="67"/>
      <c r="M799" s="67"/>
      <c r="N799" s="67"/>
    </row>
    <row r="800" ht="12.75" hidden="1" customHeight="1">
      <c r="A800" s="22" t="s">
        <v>2067</v>
      </c>
      <c r="B800" s="38" t="s">
        <v>2068</v>
      </c>
      <c r="C800" s="38" t="s">
        <v>2069</v>
      </c>
      <c r="D800" s="51"/>
      <c r="E800" s="69">
        <v>0.0</v>
      </c>
      <c r="F800" s="29"/>
      <c r="G800" s="25">
        <v>545.0</v>
      </c>
      <c r="H800" s="32"/>
      <c r="I800" s="25">
        <v>980.0</v>
      </c>
      <c r="J800" s="9"/>
      <c r="K800" s="25"/>
      <c r="L800" s="67"/>
      <c r="M800" s="67"/>
      <c r="N800" s="67"/>
    </row>
    <row r="801" ht="12.75" hidden="1" customHeight="1">
      <c r="A801" s="2" t="s">
        <v>2070</v>
      </c>
      <c r="B801" s="2" t="s">
        <v>2071</v>
      </c>
      <c r="C801" s="2" t="s">
        <v>2048</v>
      </c>
      <c r="D801" s="3"/>
      <c r="E801" s="4">
        <v>0.0</v>
      </c>
      <c r="F801" s="5"/>
      <c r="G801" s="25">
        <v>545.0</v>
      </c>
      <c r="H801" s="32"/>
      <c r="I801" s="25">
        <v>980.0</v>
      </c>
      <c r="J801" s="9"/>
      <c r="K801" s="9"/>
      <c r="L801" s="26"/>
      <c r="M801" s="26"/>
      <c r="N801" s="26"/>
    </row>
    <row r="802" ht="12.75" hidden="1" customHeight="1">
      <c r="A802" s="27" t="s">
        <v>2072</v>
      </c>
      <c r="B802" s="55" t="s">
        <v>2073</v>
      </c>
      <c r="C802" s="27" t="s">
        <v>1931</v>
      </c>
      <c r="D802" s="32"/>
      <c r="E802" s="4">
        <v>0.0</v>
      </c>
      <c r="F802" s="5"/>
      <c r="G802" s="25">
        <v>990.0</v>
      </c>
      <c r="H802" s="32" t="s">
        <v>250</v>
      </c>
      <c r="I802" s="25">
        <v>1980.0</v>
      </c>
      <c r="J802" s="25"/>
      <c r="K802" s="9"/>
      <c r="L802" s="26"/>
      <c r="M802" s="26"/>
      <c r="N802" s="26"/>
    </row>
    <row r="803" ht="12.75" hidden="1" customHeight="1">
      <c r="A803" s="27" t="s">
        <v>2074</v>
      </c>
      <c r="B803" s="55" t="s">
        <v>2075</v>
      </c>
      <c r="C803" s="27" t="s">
        <v>2076</v>
      </c>
      <c r="D803" s="32"/>
      <c r="E803" s="4">
        <v>0.0</v>
      </c>
      <c r="F803" s="5"/>
      <c r="G803" s="9">
        <v>280.0</v>
      </c>
      <c r="H803" s="32"/>
      <c r="I803" s="25">
        <v>650.0</v>
      </c>
      <c r="J803" s="50"/>
      <c r="K803" s="9">
        <v>350.0</v>
      </c>
      <c r="L803" s="26"/>
      <c r="M803" s="26"/>
      <c r="N803" s="26"/>
    </row>
    <row r="804" ht="12.75" hidden="1" customHeight="1">
      <c r="A804" s="27" t="s">
        <v>2077</v>
      </c>
      <c r="B804" s="55" t="s">
        <v>2078</v>
      </c>
      <c r="C804" s="27" t="s">
        <v>243</v>
      </c>
      <c r="D804" s="28"/>
      <c r="E804" s="4">
        <v>0.0</v>
      </c>
      <c r="F804" s="5"/>
      <c r="G804" s="9">
        <v>180.0</v>
      </c>
      <c r="H804" s="32"/>
      <c r="I804" s="25">
        <v>500.0</v>
      </c>
      <c r="J804" s="50">
        <v>157.0</v>
      </c>
      <c r="K804" s="9">
        <v>300.0</v>
      </c>
      <c r="L804" s="26"/>
      <c r="M804" s="26"/>
      <c r="N804" s="26"/>
    </row>
    <row r="805" ht="12.75" hidden="1" customHeight="1">
      <c r="A805" s="27" t="s">
        <v>2079</v>
      </c>
      <c r="B805" s="55" t="s">
        <v>2080</v>
      </c>
      <c r="C805" s="27" t="s">
        <v>243</v>
      </c>
      <c r="D805" s="28"/>
      <c r="E805" s="4">
        <v>0.0</v>
      </c>
      <c r="F805" s="5"/>
      <c r="G805" s="9">
        <v>190.0</v>
      </c>
      <c r="H805" s="52" t="s">
        <v>2014</v>
      </c>
      <c r="I805" s="25"/>
      <c r="J805" s="50"/>
      <c r="K805" s="9"/>
      <c r="L805" s="26"/>
      <c r="M805" s="26"/>
      <c r="N805" s="26"/>
    </row>
    <row r="806" ht="12.75" hidden="1" customHeight="1">
      <c r="A806" s="5" t="s">
        <v>2081</v>
      </c>
      <c r="B806" s="5" t="s">
        <v>2082</v>
      </c>
      <c r="C806" s="5" t="s">
        <v>2083</v>
      </c>
      <c r="D806" s="3"/>
      <c r="E806" s="4">
        <v>0.0</v>
      </c>
      <c r="F806" s="5"/>
      <c r="G806" s="25">
        <v>600.0</v>
      </c>
      <c r="H806" s="51" t="s">
        <v>254</v>
      </c>
      <c r="I806" s="50">
        <v>1080.0</v>
      </c>
      <c r="J806" s="25">
        <f t="shared" ref="J806:J813" si="35">G806*11/12</f>
        <v>550</v>
      </c>
      <c r="K806" s="58"/>
      <c r="L806" s="26"/>
      <c r="M806" s="26"/>
      <c r="N806" s="26"/>
    </row>
    <row r="807" ht="12.75" hidden="1" customHeight="1">
      <c r="A807" s="5" t="s">
        <v>2084</v>
      </c>
      <c r="B807" s="5" t="s">
        <v>2085</v>
      </c>
      <c r="C807" s="5" t="s">
        <v>2086</v>
      </c>
      <c r="D807" s="3"/>
      <c r="E807" s="4">
        <v>0.0</v>
      </c>
      <c r="F807" s="5"/>
      <c r="G807" s="25">
        <v>580.0</v>
      </c>
      <c r="H807" s="51" t="s">
        <v>254</v>
      </c>
      <c r="I807" s="50">
        <v>1080.0</v>
      </c>
      <c r="J807" s="25">
        <f t="shared" si="35"/>
        <v>531.6666667</v>
      </c>
      <c r="K807" s="58"/>
      <c r="L807" s="26"/>
      <c r="M807" s="26"/>
      <c r="N807" s="26"/>
    </row>
    <row r="808" ht="12.75" hidden="1" customHeight="1">
      <c r="A808" s="140" t="s">
        <v>2087</v>
      </c>
      <c r="B808" s="53" t="s">
        <v>2088</v>
      </c>
      <c r="C808" s="27" t="s">
        <v>2089</v>
      </c>
      <c r="D808" s="32" t="s">
        <v>2090</v>
      </c>
      <c r="E808" s="4">
        <v>0.0</v>
      </c>
      <c r="F808" s="5"/>
      <c r="G808" s="25">
        <v>470.0</v>
      </c>
      <c r="H808" s="32" t="s">
        <v>254</v>
      </c>
      <c r="I808" s="25">
        <v>950.0</v>
      </c>
      <c r="J808" s="9">
        <f t="shared" si="35"/>
        <v>430.8333333</v>
      </c>
      <c r="K808" s="9"/>
      <c r="L808" s="26"/>
      <c r="M808" s="26"/>
      <c r="N808" s="26"/>
    </row>
    <row r="809" ht="12.75" hidden="1" customHeight="1">
      <c r="A809" s="27" t="s">
        <v>2091</v>
      </c>
      <c r="B809" s="55" t="s">
        <v>2092</v>
      </c>
      <c r="C809" s="27" t="s">
        <v>2093</v>
      </c>
      <c r="D809" s="32"/>
      <c r="E809" s="4">
        <v>0.0</v>
      </c>
      <c r="F809" s="5"/>
      <c r="G809" s="25">
        <v>1510.0</v>
      </c>
      <c r="H809" s="51" t="s">
        <v>254</v>
      </c>
      <c r="I809" s="25">
        <v>2380.0</v>
      </c>
      <c r="J809" s="25">
        <f t="shared" si="35"/>
        <v>1384.166667</v>
      </c>
      <c r="K809" s="9"/>
      <c r="L809" s="26"/>
      <c r="M809" s="26"/>
      <c r="N809" s="26"/>
    </row>
    <row r="810" ht="12.75" hidden="1" customHeight="1">
      <c r="A810" s="27" t="s">
        <v>2094</v>
      </c>
      <c r="B810" s="55" t="s">
        <v>2095</v>
      </c>
      <c r="C810" s="27" t="s">
        <v>2096</v>
      </c>
      <c r="D810" s="32"/>
      <c r="E810" s="4">
        <v>0.0</v>
      </c>
      <c r="F810" s="5"/>
      <c r="G810" s="25">
        <v>860.0</v>
      </c>
      <c r="H810" s="51" t="s">
        <v>254</v>
      </c>
      <c r="I810" s="25">
        <v>1380.0</v>
      </c>
      <c r="J810" s="25">
        <f t="shared" si="35"/>
        <v>788.3333333</v>
      </c>
      <c r="K810" s="9"/>
      <c r="L810" s="26"/>
      <c r="M810" s="26"/>
      <c r="N810" s="26"/>
    </row>
    <row r="811" ht="12.75" hidden="1" customHeight="1">
      <c r="A811" s="27" t="s">
        <v>2097</v>
      </c>
      <c r="B811" s="55" t="s">
        <v>2098</v>
      </c>
      <c r="C811" s="27" t="s">
        <v>2099</v>
      </c>
      <c r="D811" s="32"/>
      <c r="E811" s="4">
        <v>0.0</v>
      </c>
      <c r="F811" s="5"/>
      <c r="G811" s="25">
        <v>860.0</v>
      </c>
      <c r="H811" s="51" t="s">
        <v>254</v>
      </c>
      <c r="I811" s="25">
        <v>1380.0</v>
      </c>
      <c r="J811" s="25">
        <f t="shared" si="35"/>
        <v>788.3333333</v>
      </c>
      <c r="K811" s="9"/>
      <c r="L811" s="26"/>
      <c r="M811" s="26"/>
      <c r="N811" s="26"/>
    </row>
    <row r="812" ht="12.75" hidden="1" customHeight="1">
      <c r="A812" s="27" t="s">
        <v>2100</v>
      </c>
      <c r="B812" s="55" t="s">
        <v>2101</v>
      </c>
      <c r="C812" s="27" t="s">
        <v>2102</v>
      </c>
      <c r="D812" s="32" t="s">
        <v>1724</v>
      </c>
      <c r="E812" s="4">
        <v>0.0</v>
      </c>
      <c r="F812" s="5"/>
      <c r="G812" s="25">
        <v>2280.0</v>
      </c>
      <c r="H812" s="51" t="s">
        <v>254</v>
      </c>
      <c r="I812" s="25">
        <v>3680.0</v>
      </c>
      <c r="J812" s="25">
        <f t="shared" si="35"/>
        <v>2090</v>
      </c>
      <c r="K812" s="9"/>
      <c r="L812" s="26"/>
      <c r="M812" s="26"/>
      <c r="N812" s="26"/>
    </row>
    <row r="813" ht="12.75" hidden="1" customHeight="1">
      <c r="A813" s="22" t="s">
        <v>2103</v>
      </c>
      <c r="B813" s="2" t="s">
        <v>2104</v>
      </c>
      <c r="C813" s="2" t="s">
        <v>441</v>
      </c>
      <c r="D813" s="3" t="s">
        <v>2105</v>
      </c>
      <c r="E813" s="4">
        <v>0.0</v>
      </c>
      <c r="F813" s="5"/>
      <c r="G813" s="25">
        <v>2150.0</v>
      </c>
      <c r="H813" s="32" t="s">
        <v>254</v>
      </c>
      <c r="I813" s="25">
        <v>3680.0</v>
      </c>
      <c r="J813" s="25">
        <f t="shared" si="35"/>
        <v>1970.833333</v>
      </c>
      <c r="K813" s="9"/>
      <c r="L813" s="26"/>
      <c r="M813" s="26"/>
      <c r="N813" s="26"/>
    </row>
    <row r="814" ht="12.75" hidden="1" customHeight="1">
      <c r="A814" s="22" t="s">
        <v>2106</v>
      </c>
      <c r="B814" s="142" t="s">
        <v>2107</v>
      </c>
      <c r="C814" s="142" t="s">
        <v>2108</v>
      </c>
      <c r="D814" s="3"/>
      <c r="E814" s="4"/>
      <c r="F814" s="5"/>
      <c r="G814" s="6"/>
      <c r="H814" s="71"/>
      <c r="I814" s="8"/>
      <c r="J814" s="9"/>
      <c r="K814" s="9"/>
      <c r="L814" s="26"/>
      <c r="M814" s="26"/>
      <c r="N814" s="26"/>
    </row>
    <row r="815" ht="12.75" hidden="1" customHeight="1">
      <c r="A815" s="60" t="s">
        <v>2109</v>
      </c>
      <c r="B815" s="145" t="s">
        <v>2110</v>
      </c>
      <c r="C815" s="145" t="s">
        <v>2111</v>
      </c>
      <c r="D815" s="32"/>
      <c r="E815" s="4"/>
      <c r="F815" s="5"/>
      <c r="G815" s="25"/>
      <c r="H815" s="61"/>
      <c r="I815" s="146" t="str">
        <f>E815*#REF!</f>
        <v>#REF!</v>
      </c>
      <c r="J815" s="33"/>
      <c r="K815" s="33"/>
      <c r="L815" s="26"/>
      <c r="M815" s="26"/>
      <c r="N815" s="26"/>
    </row>
    <row r="816" ht="12.75" hidden="1" customHeight="1">
      <c r="A816" s="22" t="s">
        <v>2112</v>
      </c>
      <c r="B816" s="55" t="s">
        <v>2113</v>
      </c>
      <c r="C816" s="27" t="s">
        <v>2114</v>
      </c>
      <c r="D816" s="72" t="s">
        <v>2115</v>
      </c>
      <c r="E816" s="4">
        <v>0.0</v>
      </c>
      <c r="F816" s="5"/>
      <c r="G816" s="9">
        <v>590.0</v>
      </c>
      <c r="H816" s="32" t="s">
        <v>254</v>
      </c>
      <c r="I816" s="25">
        <v>1080.0</v>
      </c>
      <c r="J816" s="50">
        <v>540.0</v>
      </c>
      <c r="K816" s="9"/>
      <c r="L816" s="26"/>
      <c r="M816" s="26"/>
      <c r="N816" s="26"/>
    </row>
    <row r="817" ht="12.75" hidden="1" customHeight="1">
      <c r="A817" s="22" t="s">
        <v>2116</v>
      </c>
      <c r="B817" s="2" t="s">
        <v>2117</v>
      </c>
      <c r="C817" s="2" t="s">
        <v>2118</v>
      </c>
      <c r="D817" s="3"/>
      <c r="E817" s="4">
        <v>0.0</v>
      </c>
      <c r="F817" s="5"/>
      <c r="G817" s="25">
        <v>8400.0</v>
      </c>
      <c r="H817" s="32" t="s">
        <v>1835</v>
      </c>
      <c r="I817" s="50">
        <v>13000.0</v>
      </c>
      <c r="J817" s="50"/>
      <c r="K817" s="9"/>
      <c r="L817" s="26"/>
      <c r="M817" s="26"/>
      <c r="N817" s="26"/>
    </row>
    <row r="818" ht="12.75" hidden="1" customHeight="1">
      <c r="A818" s="27" t="s">
        <v>2119</v>
      </c>
      <c r="B818" s="55" t="s">
        <v>2120</v>
      </c>
      <c r="C818" s="27" t="s">
        <v>633</v>
      </c>
      <c r="D818" s="32"/>
      <c r="E818" s="69">
        <v>0.0</v>
      </c>
      <c r="F818" s="29"/>
      <c r="G818" s="25">
        <v>250.0</v>
      </c>
      <c r="H818" s="52" t="s">
        <v>1874</v>
      </c>
      <c r="I818" s="25"/>
      <c r="J818" s="58"/>
      <c r="K818" s="33"/>
      <c r="L818" s="26"/>
      <c r="M818" s="26"/>
      <c r="N818" s="26"/>
    </row>
    <row r="819" ht="12.75" hidden="1" customHeight="1">
      <c r="A819" s="27" t="s">
        <v>2121</v>
      </c>
      <c r="B819" s="55" t="s">
        <v>2122</v>
      </c>
      <c r="C819" s="27" t="s">
        <v>652</v>
      </c>
      <c r="D819" s="28"/>
      <c r="E819" s="69">
        <v>0.0</v>
      </c>
      <c r="F819" s="29"/>
      <c r="G819" s="25">
        <v>370.0</v>
      </c>
      <c r="H819" s="32" t="s">
        <v>279</v>
      </c>
      <c r="I819" s="25"/>
      <c r="J819" s="58"/>
      <c r="K819" s="33"/>
      <c r="L819" s="26"/>
      <c r="M819" s="26"/>
      <c r="N819" s="26"/>
    </row>
    <row r="820" ht="12.75" hidden="1" customHeight="1">
      <c r="A820" s="27" t="s">
        <v>1869</v>
      </c>
      <c r="B820" s="55" t="s">
        <v>1868</v>
      </c>
      <c r="C820" s="27" t="s">
        <v>641</v>
      </c>
      <c r="D820" s="51"/>
      <c r="E820" s="69">
        <v>0.0</v>
      </c>
      <c r="F820" s="29"/>
      <c r="G820" s="25"/>
      <c r="H820" s="32"/>
      <c r="I820" s="25"/>
      <c r="J820" s="58"/>
      <c r="K820" s="33"/>
      <c r="L820" s="26"/>
      <c r="M820" s="26"/>
      <c r="N820" s="26"/>
    </row>
    <row r="821" ht="12.75" hidden="1" customHeight="1">
      <c r="A821" s="27" t="s">
        <v>1872</v>
      </c>
      <c r="B821" s="55" t="s">
        <v>2122</v>
      </c>
      <c r="C821" s="27" t="s">
        <v>641</v>
      </c>
      <c r="D821" s="51"/>
      <c r="E821" s="69">
        <v>0.0</v>
      </c>
      <c r="F821" s="29"/>
      <c r="G821" s="25"/>
      <c r="H821" s="32"/>
      <c r="I821" s="25"/>
      <c r="J821" s="58"/>
      <c r="K821" s="33"/>
      <c r="L821" s="26"/>
      <c r="M821" s="26"/>
      <c r="N821" s="26"/>
    </row>
    <row r="822" ht="12.75" hidden="1" customHeight="1">
      <c r="A822" s="27" t="s">
        <v>2123</v>
      </c>
      <c r="B822" s="55" t="s">
        <v>2124</v>
      </c>
      <c r="C822" s="27" t="s">
        <v>2053</v>
      </c>
      <c r="D822" s="28"/>
      <c r="E822" s="69">
        <v>0.0</v>
      </c>
      <c r="F822" s="29"/>
      <c r="G822" s="25">
        <v>200.0</v>
      </c>
      <c r="H822" s="32" t="s">
        <v>279</v>
      </c>
      <c r="I822" s="25"/>
      <c r="J822" s="58">
        <f t="shared" ref="J822:J823" si="36">G822*11/12</f>
        <v>183.3333333</v>
      </c>
      <c r="K822" s="33"/>
      <c r="L822" s="26"/>
      <c r="M822" s="26"/>
      <c r="N822" s="26"/>
    </row>
    <row r="823" ht="12.75" hidden="1" customHeight="1">
      <c r="A823" s="27" t="s">
        <v>2125</v>
      </c>
      <c r="B823" s="55" t="s">
        <v>2126</v>
      </c>
      <c r="C823" s="27" t="s">
        <v>667</v>
      </c>
      <c r="D823" s="28"/>
      <c r="E823" s="69">
        <v>0.0</v>
      </c>
      <c r="F823" s="29"/>
      <c r="G823" s="25">
        <v>215.0</v>
      </c>
      <c r="H823" s="52" t="s">
        <v>668</v>
      </c>
      <c r="I823" s="25"/>
      <c r="J823" s="58">
        <f t="shared" si="36"/>
        <v>197.0833333</v>
      </c>
      <c r="K823" s="33"/>
      <c r="L823" s="26"/>
      <c r="M823" s="26"/>
      <c r="N823" s="26"/>
    </row>
    <row r="824" ht="12.75" hidden="1" customHeight="1">
      <c r="A824" s="27" t="s">
        <v>2127</v>
      </c>
      <c r="B824" s="38" t="s">
        <v>2128</v>
      </c>
      <c r="C824" s="38" t="s">
        <v>2129</v>
      </c>
      <c r="D824" s="32"/>
      <c r="E824" s="4">
        <v>0.0</v>
      </c>
      <c r="F824" s="5"/>
      <c r="G824" s="25">
        <v>350.0</v>
      </c>
      <c r="H824" s="32"/>
      <c r="I824" s="25">
        <v>700.0</v>
      </c>
      <c r="J824" s="9"/>
      <c r="K824" s="9"/>
      <c r="L824" s="26"/>
      <c r="M824" s="26"/>
      <c r="N824" s="26"/>
    </row>
    <row r="825" ht="12.75" hidden="1" customHeight="1">
      <c r="A825" s="27" t="s">
        <v>2130</v>
      </c>
      <c r="B825" s="38" t="s">
        <v>2131</v>
      </c>
      <c r="C825" s="38" t="s">
        <v>2132</v>
      </c>
      <c r="D825" s="32"/>
      <c r="E825" s="4">
        <v>0.0</v>
      </c>
      <c r="F825" s="5"/>
      <c r="G825" s="25">
        <v>350.0</v>
      </c>
      <c r="H825" s="32"/>
      <c r="I825" s="25">
        <v>700.0</v>
      </c>
      <c r="J825" s="9"/>
      <c r="K825" s="9"/>
      <c r="L825" s="26"/>
      <c r="M825" s="26"/>
      <c r="N825" s="26"/>
    </row>
    <row r="826" ht="12.75" hidden="1" customHeight="1">
      <c r="A826" s="22" t="s">
        <v>2133</v>
      </c>
      <c r="B826" s="38" t="s">
        <v>2134</v>
      </c>
      <c r="C826" s="38" t="s">
        <v>2135</v>
      </c>
      <c r="D826" s="51"/>
      <c r="E826" s="69">
        <v>0.0</v>
      </c>
      <c r="F826" s="29"/>
      <c r="G826" s="25">
        <v>545.0</v>
      </c>
      <c r="H826" s="32"/>
      <c r="I826" s="25">
        <v>980.0</v>
      </c>
      <c r="J826" s="9"/>
      <c r="K826" s="25"/>
      <c r="L826" s="67"/>
      <c r="M826" s="67"/>
      <c r="N826" s="67"/>
    </row>
    <row r="827" ht="12.75" hidden="1" customHeight="1">
      <c r="A827" s="27" t="s">
        <v>2136</v>
      </c>
      <c r="B827" s="53" t="s">
        <v>2137</v>
      </c>
      <c r="C827" s="53" t="s">
        <v>2138</v>
      </c>
      <c r="D827" s="51" t="s">
        <v>2139</v>
      </c>
      <c r="E827" s="4">
        <v>0.0</v>
      </c>
      <c r="F827" s="5"/>
      <c r="G827" s="9">
        <v>408.0</v>
      </c>
      <c r="H827" s="32" t="s">
        <v>279</v>
      </c>
      <c r="I827" s="25">
        <v>680.0</v>
      </c>
      <c r="J827" s="9">
        <v>377.0</v>
      </c>
      <c r="K827" s="9"/>
      <c r="L827" s="26"/>
      <c r="M827" s="26"/>
      <c r="N827" s="26"/>
    </row>
    <row r="828" ht="12.75" hidden="1" customHeight="1">
      <c r="A828" s="27" t="s">
        <v>2140</v>
      </c>
      <c r="B828" s="55" t="s">
        <v>2141</v>
      </c>
      <c r="C828" s="27" t="s">
        <v>2142</v>
      </c>
      <c r="D828" s="28" t="s">
        <v>19</v>
      </c>
      <c r="E828" s="4">
        <v>0.0</v>
      </c>
      <c r="F828" s="5"/>
      <c r="G828" s="25"/>
      <c r="H828" s="32" t="s">
        <v>250</v>
      </c>
      <c r="I828" s="25"/>
      <c r="J828" s="25"/>
      <c r="K828" s="9"/>
      <c r="L828" s="26"/>
      <c r="M828" s="26"/>
      <c r="N828" s="26"/>
    </row>
    <row r="829" ht="12.75" hidden="1" customHeight="1">
      <c r="A829" s="27" t="s">
        <v>2143</v>
      </c>
      <c r="B829" s="55" t="s">
        <v>2144</v>
      </c>
      <c r="C829" s="27" t="s">
        <v>2145</v>
      </c>
      <c r="D829" s="51"/>
      <c r="E829" s="4">
        <v>0.0</v>
      </c>
      <c r="F829" s="5"/>
      <c r="G829" s="25">
        <v>1350.0</v>
      </c>
      <c r="H829" s="58" t="s">
        <v>254</v>
      </c>
      <c r="I829" s="31">
        <v>2150.0</v>
      </c>
      <c r="J829" s="9">
        <f>G829*11/12</f>
        <v>1237.5</v>
      </c>
      <c r="K829" s="58"/>
      <c r="L829" s="26"/>
      <c r="M829" s="26"/>
      <c r="N829" s="26"/>
    </row>
    <row r="830" ht="12.75" hidden="1" customHeight="1">
      <c r="A830" s="27" t="s">
        <v>2146</v>
      </c>
      <c r="B830" s="55" t="s">
        <v>2147</v>
      </c>
      <c r="C830" s="27" t="s">
        <v>2148</v>
      </c>
      <c r="D830" s="51"/>
      <c r="E830" s="4">
        <v>0.0</v>
      </c>
      <c r="F830" s="5"/>
      <c r="G830" s="25">
        <v>1000.0</v>
      </c>
      <c r="H830" s="58" t="s">
        <v>250</v>
      </c>
      <c r="I830" s="31">
        <v>1800.0</v>
      </c>
      <c r="J830" s="9"/>
      <c r="K830" s="9"/>
      <c r="L830" s="26"/>
      <c r="M830" s="26"/>
      <c r="N830" s="26"/>
    </row>
    <row r="831" ht="12.75" hidden="1" customHeight="1">
      <c r="A831" s="27" t="s">
        <v>2149</v>
      </c>
      <c r="B831" s="55" t="s">
        <v>2150</v>
      </c>
      <c r="C831" s="27" t="s">
        <v>2151</v>
      </c>
      <c r="D831" s="51"/>
      <c r="E831" s="4">
        <v>0.0</v>
      </c>
      <c r="F831" s="5"/>
      <c r="G831" s="25">
        <v>980.0</v>
      </c>
      <c r="H831" s="58" t="s">
        <v>254</v>
      </c>
      <c r="I831" s="31">
        <v>1580.0</v>
      </c>
      <c r="J831" s="9">
        <f t="shared" ref="J831:J833" si="37">G831*11/12</f>
        <v>898.3333333</v>
      </c>
      <c r="K831" s="9"/>
      <c r="L831" s="26"/>
      <c r="M831" s="26"/>
      <c r="N831" s="26"/>
    </row>
    <row r="832" ht="12.75" hidden="1" customHeight="1">
      <c r="A832" s="147" t="s">
        <v>1962</v>
      </c>
      <c r="B832" s="148" t="s">
        <v>1963</v>
      </c>
      <c r="C832" s="149" t="s">
        <v>1964</v>
      </c>
      <c r="D832" s="150"/>
      <c r="E832" s="73">
        <v>0.0</v>
      </c>
      <c r="F832" s="74"/>
      <c r="G832" s="151">
        <v>250.0</v>
      </c>
      <c r="H832" s="152" t="s">
        <v>254</v>
      </c>
      <c r="I832" s="153">
        <v>600.0</v>
      </c>
      <c r="J832" s="151">
        <f t="shared" si="37"/>
        <v>229.1666667</v>
      </c>
      <c r="K832" s="151">
        <v>400.0</v>
      </c>
      <c r="L832" s="154"/>
      <c r="M832" s="26"/>
      <c r="N832" s="26"/>
    </row>
    <row r="833" ht="12.75" hidden="1" customHeight="1">
      <c r="A833" s="53" t="s">
        <v>2152</v>
      </c>
      <c r="B833" s="53" t="s">
        <v>2153</v>
      </c>
      <c r="C833" s="27" t="s">
        <v>1967</v>
      </c>
      <c r="D833" s="28"/>
      <c r="E833" s="4">
        <v>0.0</v>
      </c>
      <c r="F833" s="5"/>
      <c r="G833" s="9">
        <v>250.0</v>
      </c>
      <c r="H833" s="32" t="s">
        <v>254</v>
      </c>
      <c r="I833" s="25">
        <v>600.0</v>
      </c>
      <c r="J833" s="25">
        <f t="shared" si="37"/>
        <v>229.1666667</v>
      </c>
      <c r="K833" s="9">
        <v>400.0</v>
      </c>
      <c r="L833" s="26"/>
      <c r="M833" s="26"/>
      <c r="N833" s="26"/>
    </row>
    <row r="834" ht="12.75" hidden="1" customHeight="1">
      <c r="A834" s="29" t="s">
        <v>2154</v>
      </c>
      <c r="B834" s="29" t="s">
        <v>2155</v>
      </c>
      <c r="C834" s="29" t="s">
        <v>2156</v>
      </c>
      <c r="D834" s="84"/>
      <c r="E834" s="69">
        <v>0.0</v>
      </c>
      <c r="F834" s="29"/>
      <c r="G834" s="25"/>
      <c r="H834" s="70"/>
      <c r="I834" s="50"/>
      <c r="J834" s="50"/>
      <c r="K834" s="25"/>
      <c r="L834" s="67"/>
      <c r="M834" s="67"/>
      <c r="N834" s="67"/>
    </row>
    <row r="835" ht="12.75" hidden="1" customHeight="1">
      <c r="A835" s="38" t="s">
        <v>2157</v>
      </c>
      <c r="B835" s="38" t="s">
        <v>2158</v>
      </c>
      <c r="C835" s="27" t="s">
        <v>2159</v>
      </c>
      <c r="D835" s="32" t="s">
        <v>413</v>
      </c>
      <c r="E835" s="4">
        <v>0.0</v>
      </c>
      <c r="F835" s="5"/>
      <c r="G835" s="25">
        <v>2400.0</v>
      </c>
      <c r="H835" s="51" t="s">
        <v>250</v>
      </c>
      <c r="I835" s="25">
        <v>4680.0</v>
      </c>
      <c r="J835" s="9">
        <v>2400.0</v>
      </c>
      <c r="K835" s="9"/>
      <c r="L835" s="26"/>
      <c r="M835" s="26"/>
      <c r="N835" s="26"/>
    </row>
    <row r="836" ht="12.75" hidden="1" customHeight="1">
      <c r="A836" s="55" t="s">
        <v>2160</v>
      </c>
      <c r="B836" s="2" t="s">
        <v>2161</v>
      </c>
      <c r="C836" s="2" t="s">
        <v>1328</v>
      </c>
      <c r="D836" s="3"/>
      <c r="E836" s="4">
        <v>0.0</v>
      </c>
      <c r="F836" s="5"/>
      <c r="G836" s="9">
        <v>488.0</v>
      </c>
      <c r="H836" s="32" t="s">
        <v>964</v>
      </c>
      <c r="I836" s="8"/>
      <c r="J836" s="58"/>
      <c r="K836" s="9"/>
      <c r="L836" s="26"/>
      <c r="M836" s="26"/>
      <c r="N836" s="26"/>
    </row>
    <row r="837" ht="12.75" hidden="1" customHeight="1">
      <c r="A837" s="22" t="s">
        <v>2162</v>
      </c>
      <c r="B837" s="2" t="s">
        <v>2163</v>
      </c>
      <c r="C837" s="2" t="s">
        <v>2164</v>
      </c>
      <c r="D837" s="3" t="s">
        <v>2165</v>
      </c>
      <c r="E837" s="4">
        <v>0.0</v>
      </c>
      <c r="F837" s="5"/>
      <c r="G837" s="9">
        <v>590.0</v>
      </c>
      <c r="H837" s="32"/>
      <c r="I837" s="25"/>
      <c r="J837" s="25"/>
      <c r="K837" s="9"/>
      <c r="L837" s="26"/>
      <c r="M837" s="26"/>
      <c r="N837" s="26"/>
    </row>
    <row r="838" ht="12.75" hidden="1" customHeight="1">
      <c r="A838" s="22" t="s">
        <v>2166</v>
      </c>
      <c r="B838" s="2" t="s">
        <v>2167</v>
      </c>
      <c r="C838" s="2" t="s">
        <v>2168</v>
      </c>
      <c r="D838" s="3" t="s">
        <v>2165</v>
      </c>
      <c r="E838" s="4">
        <v>0.0</v>
      </c>
      <c r="F838" s="5"/>
      <c r="G838" s="9">
        <v>600.0</v>
      </c>
      <c r="H838" s="32" t="s">
        <v>254</v>
      </c>
      <c r="I838" s="25">
        <v>1100.0</v>
      </c>
      <c r="J838" s="25">
        <v>550.0</v>
      </c>
      <c r="K838" s="9"/>
      <c r="L838" s="26"/>
      <c r="M838" s="26"/>
      <c r="N838" s="26"/>
    </row>
    <row r="839" ht="12.75" hidden="1" customHeight="1">
      <c r="A839" s="27" t="s">
        <v>2169</v>
      </c>
      <c r="B839" s="27" t="s">
        <v>2170</v>
      </c>
      <c r="C839" s="27" t="s">
        <v>2171</v>
      </c>
      <c r="D839" s="3" t="s">
        <v>2172</v>
      </c>
      <c r="E839" s="4">
        <v>0.0</v>
      </c>
      <c r="F839" s="5"/>
      <c r="G839" s="9">
        <v>325.0</v>
      </c>
      <c r="H839" s="51" t="s">
        <v>279</v>
      </c>
      <c r="I839" s="25">
        <v>700.0</v>
      </c>
      <c r="J839" s="9">
        <v>298.0</v>
      </c>
      <c r="K839" s="9"/>
      <c r="L839" s="26"/>
      <c r="M839" s="26"/>
      <c r="N839" s="26"/>
    </row>
    <row r="840" ht="12.75" hidden="1" customHeight="1">
      <c r="A840" s="27" t="s">
        <v>2173</v>
      </c>
      <c r="B840" s="27" t="s">
        <v>2174</v>
      </c>
      <c r="C840" s="27" t="s">
        <v>2175</v>
      </c>
      <c r="D840" s="3" t="s">
        <v>2176</v>
      </c>
      <c r="E840" s="4">
        <v>0.0</v>
      </c>
      <c r="F840" s="5"/>
      <c r="G840" s="9">
        <v>325.0</v>
      </c>
      <c r="H840" s="51" t="s">
        <v>279</v>
      </c>
      <c r="I840" s="25">
        <v>700.0</v>
      </c>
      <c r="J840" s="9">
        <v>298.0</v>
      </c>
      <c r="K840" s="9"/>
      <c r="L840" s="26"/>
      <c r="M840" s="26"/>
      <c r="N840" s="26"/>
    </row>
    <row r="841" ht="12.75" hidden="1" customHeight="1">
      <c r="A841" s="27" t="s">
        <v>2177</v>
      </c>
      <c r="B841" s="142" t="s">
        <v>2178</v>
      </c>
      <c r="C841" s="142" t="s">
        <v>2179</v>
      </c>
      <c r="D841" s="3"/>
      <c r="E841" s="4"/>
      <c r="F841" s="5"/>
      <c r="G841" s="9"/>
      <c r="H841" s="32"/>
      <c r="I841" s="25"/>
      <c r="J841" s="9"/>
      <c r="K841" s="9"/>
      <c r="L841" s="26"/>
      <c r="M841" s="26"/>
      <c r="N841" s="26"/>
    </row>
    <row r="842" ht="12.75" hidden="1" customHeight="1">
      <c r="A842" s="53" t="s">
        <v>2180</v>
      </c>
      <c r="B842" s="38" t="s">
        <v>2181</v>
      </c>
      <c r="C842" s="27" t="s">
        <v>2182</v>
      </c>
      <c r="D842" s="3" t="s">
        <v>2183</v>
      </c>
      <c r="E842" s="4">
        <v>0.0</v>
      </c>
      <c r="F842" s="5"/>
      <c r="G842" s="25">
        <v>580.0</v>
      </c>
      <c r="H842" s="51" t="s">
        <v>254</v>
      </c>
      <c r="I842" s="50">
        <v>980.0</v>
      </c>
      <c r="J842" s="25">
        <f t="shared" ref="J842:J847" si="38">G842*11/12</f>
        <v>531.6666667</v>
      </c>
      <c r="K842" s="25"/>
      <c r="L842" s="26"/>
      <c r="M842" s="26"/>
      <c r="N842" s="26"/>
    </row>
    <row r="843" ht="12.75" hidden="1" customHeight="1">
      <c r="A843" s="38" t="s">
        <v>1463</v>
      </c>
      <c r="B843" s="38" t="s">
        <v>2184</v>
      </c>
      <c r="C843" s="27" t="s">
        <v>1465</v>
      </c>
      <c r="D843" s="3"/>
      <c r="E843" s="4">
        <v>0.0</v>
      </c>
      <c r="F843" s="5"/>
      <c r="G843" s="25"/>
      <c r="H843" s="51" t="s">
        <v>250</v>
      </c>
      <c r="I843" s="50"/>
      <c r="J843" s="25">
        <f t="shared" si="38"/>
        <v>0</v>
      </c>
      <c r="K843" s="25"/>
      <c r="L843" s="26"/>
      <c r="M843" s="26"/>
      <c r="N843" s="26"/>
    </row>
    <row r="844" ht="12.75" hidden="1" customHeight="1">
      <c r="A844" s="53" t="s">
        <v>2185</v>
      </c>
      <c r="B844" s="38" t="s">
        <v>2186</v>
      </c>
      <c r="C844" s="27" t="s">
        <v>1481</v>
      </c>
      <c r="D844" s="3"/>
      <c r="E844" s="4">
        <v>0.0</v>
      </c>
      <c r="F844" s="5"/>
      <c r="G844" s="25"/>
      <c r="H844" s="51" t="s">
        <v>250</v>
      </c>
      <c r="I844" s="50"/>
      <c r="J844" s="25">
        <f t="shared" si="38"/>
        <v>0</v>
      </c>
      <c r="K844" s="25"/>
      <c r="L844" s="26"/>
      <c r="M844" s="26"/>
      <c r="N844" s="26"/>
    </row>
    <row r="845" ht="12.75" hidden="1" customHeight="1">
      <c r="A845" s="38" t="s">
        <v>2187</v>
      </c>
      <c r="B845" s="38" t="s">
        <v>2188</v>
      </c>
      <c r="C845" s="27" t="s">
        <v>2189</v>
      </c>
      <c r="D845" s="3"/>
      <c r="E845" s="4">
        <v>0.0</v>
      </c>
      <c r="F845" s="5"/>
      <c r="G845" s="25"/>
      <c r="H845" s="51" t="s">
        <v>250</v>
      </c>
      <c r="I845" s="50"/>
      <c r="J845" s="25">
        <f t="shared" si="38"/>
        <v>0</v>
      </c>
      <c r="K845" s="25"/>
      <c r="L845" s="26"/>
      <c r="M845" s="26"/>
      <c r="N845" s="26"/>
    </row>
    <row r="846" ht="12.75" hidden="1" customHeight="1">
      <c r="A846" s="38" t="s">
        <v>2190</v>
      </c>
      <c r="B846" s="38" t="s">
        <v>2191</v>
      </c>
      <c r="C846" s="27" t="s">
        <v>2192</v>
      </c>
      <c r="D846" s="3"/>
      <c r="E846" s="4">
        <v>0.0</v>
      </c>
      <c r="F846" s="5"/>
      <c r="G846" s="25"/>
      <c r="H846" s="50"/>
      <c r="I846" s="50"/>
      <c r="J846" s="25">
        <f t="shared" si="38"/>
        <v>0</v>
      </c>
      <c r="K846" s="25"/>
      <c r="L846" s="26"/>
      <c r="M846" s="26"/>
      <c r="N846" s="26"/>
    </row>
    <row r="847" ht="12.75" hidden="1" customHeight="1">
      <c r="A847" s="38" t="s">
        <v>2193</v>
      </c>
      <c r="B847" s="38" t="s">
        <v>2194</v>
      </c>
      <c r="C847" s="27" t="s">
        <v>2192</v>
      </c>
      <c r="D847" s="3"/>
      <c r="E847" s="4">
        <v>0.0</v>
      </c>
      <c r="F847" s="5"/>
      <c r="G847" s="25"/>
      <c r="H847" s="51" t="s">
        <v>250</v>
      </c>
      <c r="I847" s="50"/>
      <c r="J847" s="25">
        <f t="shared" si="38"/>
        <v>0</v>
      </c>
      <c r="K847" s="25"/>
      <c r="L847" s="26"/>
      <c r="M847" s="26"/>
      <c r="N847" s="26"/>
    </row>
    <row r="848" ht="12.75" hidden="1" customHeight="1">
      <c r="A848" s="27" t="s">
        <v>2195</v>
      </c>
      <c r="B848" s="55" t="s">
        <v>2196</v>
      </c>
      <c r="C848" s="27" t="s">
        <v>2197</v>
      </c>
      <c r="D848" s="28"/>
      <c r="E848" s="4">
        <v>0.0</v>
      </c>
      <c r="F848" s="5"/>
      <c r="G848" s="36" t="s">
        <v>2198</v>
      </c>
      <c r="H848" s="32"/>
      <c r="I848" s="25">
        <v>650.0</v>
      </c>
      <c r="J848" s="50">
        <v>257.0</v>
      </c>
      <c r="K848" s="9">
        <v>350.0</v>
      </c>
      <c r="L848" s="26"/>
      <c r="M848" s="26"/>
      <c r="N848" s="26"/>
    </row>
    <row r="849" ht="12.75" hidden="1" customHeight="1">
      <c r="A849" s="27" t="s">
        <v>2199</v>
      </c>
      <c r="B849" s="55" t="s">
        <v>2200</v>
      </c>
      <c r="C849" s="27" t="s">
        <v>2201</v>
      </c>
      <c r="D849" s="32"/>
      <c r="E849" s="4">
        <v>0.0</v>
      </c>
      <c r="F849" s="5"/>
      <c r="G849" s="9">
        <v>180.0</v>
      </c>
      <c r="H849" s="32"/>
      <c r="I849" s="25">
        <v>500.0</v>
      </c>
      <c r="J849" s="50">
        <v>157.0</v>
      </c>
      <c r="K849" s="9">
        <v>300.0</v>
      </c>
      <c r="L849" s="26"/>
      <c r="M849" s="26"/>
      <c r="N849" s="26"/>
    </row>
    <row r="850" ht="12.75" hidden="1" customHeight="1">
      <c r="A850" s="27" t="s">
        <v>2202</v>
      </c>
      <c r="B850" s="55" t="s">
        <v>2203</v>
      </c>
      <c r="C850" s="27" t="s">
        <v>2204</v>
      </c>
      <c r="D850" s="28"/>
      <c r="E850" s="4">
        <v>0.0</v>
      </c>
      <c r="F850" s="5"/>
      <c r="G850" s="36" t="s">
        <v>2198</v>
      </c>
      <c r="H850" s="32"/>
      <c r="I850" s="25">
        <v>650.0</v>
      </c>
      <c r="J850" s="50">
        <v>257.0</v>
      </c>
      <c r="K850" s="9" t="s">
        <v>2205</v>
      </c>
      <c r="L850" s="26"/>
      <c r="M850" s="26"/>
      <c r="N850" s="26"/>
    </row>
    <row r="851" ht="12.75" hidden="1" customHeight="1">
      <c r="A851" s="22" t="s">
        <v>2206</v>
      </c>
      <c r="B851" s="55" t="s">
        <v>2207</v>
      </c>
      <c r="C851" s="27" t="s">
        <v>2208</v>
      </c>
      <c r="D851" s="32"/>
      <c r="E851" s="4">
        <v>0.0</v>
      </c>
      <c r="F851" s="5"/>
      <c r="G851" s="25">
        <v>590.0</v>
      </c>
      <c r="H851" s="51" t="s">
        <v>254</v>
      </c>
      <c r="I851" s="25">
        <v>1180.0</v>
      </c>
      <c r="J851" s="25">
        <f t="shared" ref="J851:J853" si="39">G851*11/12</f>
        <v>540.8333333</v>
      </c>
      <c r="K851" s="9"/>
      <c r="L851" s="26"/>
      <c r="M851" s="26"/>
      <c r="N851" s="26"/>
    </row>
    <row r="852" ht="12.75" hidden="1" customHeight="1">
      <c r="A852" s="27" t="s">
        <v>2209</v>
      </c>
      <c r="B852" s="55" t="s">
        <v>2210</v>
      </c>
      <c r="C852" s="27" t="s">
        <v>1832</v>
      </c>
      <c r="D852" s="32" t="s">
        <v>1367</v>
      </c>
      <c r="E852" s="4">
        <v>0.0</v>
      </c>
      <c r="F852" s="5"/>
      <c r="G852" s="25">
        <v>860.0</v>
      </c>
      <c r="H852" s="51" t="s">
        <v>254</v>
      </c>
      <c r="I852" s="25">
        <v>1380.0</v>
      </c>
      <c r="J852" s="25">
        <f t="shared" si="39"/>
        <v>788.3333333</v>
      </c>
      <c r="K852" s="9"/>
      <c r="L852" s="26"/>
      <c r="M852" s="26"/>
      <c r="N852" s="26"/>
    </row>
    <row r="853" ht="12.75" hidden="1" customHeight="1">
      <c r="A853" s="27" t="s">
        <v>2211</v>
      </c>
      <c r="B853" s="55" t="s">
        <v>2212</v>
      </c>
      <c r="C853" s="27" t="s">
        <v>1884</v>
      </c>
      <c r="D853" s="32"/>
      <c r="E853" s="69">
        <v>0.0</v>
      </c>
      <c r="F853" s="29"/>
      <c r="G853" s="25">
        <v>550.0</v>
      </c>
      <c r="H853" s="32" t="s">
        <v>279</v>
      </c>
      <c r="I853" s="25">
        <v>1280.0</v>
      </c>
      <c r="J853" s="58">
        <f t="shared" si="39"/>
        <v>504.1666667</v>
      </c>
      <c r="K853" s="33"/>
      <c r="L853" s="26"/>
      <c r="M853" s="26"/>
      <c r="N853" s="26"/>
    </row>
    <row r="854" ht="12.75" hidden="1" customHeight="1">
      <c r="A854" s="38" t="s">
        <v>2213</v>
      </c>
      <c r="B854" s="38" t="s">
        <v>2214</v>
      </c>
      <c r="C854" s="27" t="s">
        <v>2025</v>
      </c>
      <c r="D854" s="32"/>
      <c r="E854" s="4">
        <v>0.0</v>
      </c>
      <c r="F854" s="5"/>
      <c r="G854" s="25">
        <v>580.0</v>
      </c>
      <c r="H854" s="51" t="s">
        <v>250</v>
      </c>
      <c r="I854" s="25">
        <v>1280.0</v>
      </c>
      <c r="J854" s="9">
        <v>580.0</v>
      </c>
      <c r="K854" s="9"/>
      <c r="L854" s="26"/>
      <c r="M854" s="26"/>
      <c r="N854" s="26"/>
    </row>
    <row r="855" ht="12.75" hidden="1" customHeight="1">
      <c r="A855" s="22" t="s">
        <v>2215</v>
      </c>
      <c r="B855" s="2" t="s">
        <v>2216</v>
      </c>
      <c r="C855" s="2" t="s">
        <v>2217</v>
      </c>
      <c r="D855" s="3" t="s">
        <v>2165</v>
      </c>
      <c r="E855" s="4">
        <v>0.0</v>
      </c>
      <c r="F855" s="5"/>
      <c r="G855" s="9">
        <v>880.0</v>
      </c>
      <c r="H855" s="32" t="s">
        <v>250</v>
      </c>
      <c r="I855" s="25">
        <v>1680.0</v>
      </c>
      <c r="J855" s="25"/>
      <c r="K855" s="9"/>
      <c r="L855" s="26"/>
      <c r="M855" s="26"/>
      <c r="N855" s="26"/>
    </row>
    <row r="856" ht="12.75" hidden="1" customHeight="1">
      <c r="A856" s="27" t="s">
        <v>2218</v>
      </c>
      <c r="B856" s="55" t="s">
        <v>2219</v>
      </c>
      <c r="C856" s="27" t="s">
        <v>1773</v>
      </c>
      <c r="D856" s="32"/>
      <c r="E856" s="4">
        <v>0.0</v>
      </c>
      <c r="F856" s="5"/>
      <c r="G856" s="9">
        <v>280.0</v>
      </c>
      <c r="H856" s="7"/>
      <c r="I856" s="82">
        <v>680.0</v>
      </c>
      <c r="J856" s="50"/>
      <c r="K856" s="9">
        <v>350.0</v>
      </c>
      <c r="L856" s="26"/>
      <c r="M856" s="26"/>
      <c r="N856" s="26"/>
    </row>
    <row r="857" ht="12.75" hidden="1" customHeight="1">
      <c r="A857" s="53" t="s">
        <v>2220</v>
      </c>
      <c r="B857" s="53" t="s">
        <v>2221</v>
      </c>
      <c r="C857" s="27" t="s">
        <v>308</v>
      </c>
      <c r="D857" s="61">
        <v>0.15</v>
      </c>
      <c r="E857" s="4">
        <v>0.0</v>
      </c>
      <c r="F857" s="5"/>
      <c r="G857" s="25">
        <v>320.0</v>
      </c>
      <c r="H857" s="62" t="s">
        <v>301</v>
      </c>
      <c r="I857" s="25">
        <v>680.0</v>
      </c>
      <c r="J857" s="25">
        <v>260.0</v>
      </c>
      <c r="K857" s="9"/>
      <c r="L857" s="26"/>
      <c r="M857" s="26"/>
      <c r="N857" s="26"/>
    </row>
    <row r="858" ht="12.75" hidden="1" customHeight="1">
      <c r="A858" s="140" t="s">
        <v>2222</v>
      </c>
      <c r="B858" s="53" t="s">
        <v>2223</v>
      </c>
      <c r="C858" s="27" t="s">
        <v>2224</v>
      </c>
      <c r="D858" s="32"/>
      <c r="E858" s="4">
        <v>0.0</v>
      </c>
      <c r="F858" s="5"/>
      <c r="G858" s="25">
        <v>455.0</v>
      </c>
      <c r="H858" s="32" t="s">
        <v>250</v>
      </c>
      <c r="I858" s="25">
        <v>1100.0</v>
      </c>
      <c r="J858" s="9"/>
      <c r="K858" s="9"/>
      <c r="L858" s="26"/>
      <c r="M858" s="26"/>
      <c r="N858" s="26"/>
    </row>
    <row r="859" ht="12.75" hidden="1" customHeight="1">
      <c r="A859" s="27" t="s">
        <v>2225</v>
      </c>
      <c r="B859" s="55" t="s">
        <v>2226</v>
      </c>
      <c r="C859" s="27" t="s">
        <v>2227</v>
      </c>
      <c r="D859" s="28"/>
      <c r="E859" s="69">
        <v>0.0</v>
      </c>
      <c r="F859" s="29"/>
      <c r="G859" s="25">
        <v>210.0</v>
      </c>
      <c r="H859" s="32" t="s">
        <v>254</v>
      </c>
      <c r="I859" s="25">
        <v>500.0</v>
      </c>
      <c r="J859" s="58">
        <f t="shared" ref="J859:J860" si="40">G859*11/12</f>
        <v>192.5</v>
      </c>
      <c r="K859" s="33"/>
      <c r="L859" s="26"/>
      <c r="M859" s="26"/>
      <c r="N859" s="26"/>
    </row>
    <row r="860" ht="12.75" hidden="1" customHeight="1">
      <c r="A860" s="53" t="s">
        <v>2228</v>
      </c>
      <c r="B860" s="53" t="s">
        <v>2229</v>
      </c>
      <c r="C860" s="27" t="s">
        <v>1964</v>
      </c>
      <c r="D860" s="28"/>
      <c r="E860" s="4">
        <v>0.0</v>
      </c>
      <c r="F860" s="5"/>
      <c r="G860" s="9">
        <v>250.0</v>
      </c>
      <c r="H860" s="32" t="s">
        <v>254</v>
      </c>
      <c r="I860" s="25">
        <v>600.0</v>
      </c>
      <c r="J860" s="25">
        <f t="shared" si="40"/>
        <v>229.1666667</v>
      </c>
      <c r="K860" s="9"/>
      <c r="L860" s="26"/>
      <c r="M860" s="26"/>
      <c r="N860" s="26"/>
    </row>
    <row r="861" ht="12.75" hidden="1" customHeight="1">
      <c r="A861" s="29" t="s">
        <v>2230</v>
      </c>
      <c r="B861" s="29" t="s">
        <v>2231</v>
      </c>
      <c r="C861" s="29" t="s">
        <v>2232</v>
      </c>
      <c r="D861" s="84"/>
      <c r="E861" s="69">
        <v>0.0</v>
      </c>
      <c r="F861" s="29"/>
      <c r="G861" s="25">
        <v>423.0</v>
      </c>
      <c r="H861" s="51" t="s">
        <v>254</v>
      </c>
      <c r="I861" s="25">
        <v>800.0</v>
      </c>
      <c r="J861" s="50">
        <v>388.0</v>
      </c>
      <c r="K861" s="25"/>
      <c r="L861" s="67"/>
      <c r="M861" s="67"/>
      <c r="N861" s="67"/>
    </row>
    <row r="862" ht="12.75" hidden="1" customHeight="1">
      <c r="A862" s="27" t="s">
        <v>2233</v>
      </c>
      <c r="B862" s="27" t="s">
        <v>2234</v>
      </c>
      <c r="C862" s="27" t="s">
        <v>2235</v>
      </c>
      <c r="D862" s="81" t="s">
        <v>2236</v>
      </c>
      <c r="E862" s="4">
        <v>0.0</v>
      </c>
      <c r="F862" s="5"/>
      <c r="G862" s="9">
        <v>315.0</v>
      </c>
      <c r="H862" s="51" t="s">
        <v>254</v>
      </c>
      <c r="I862" s="25">
        <v>680.0</v>
      </c>
      <c r="J862" s="9">
        <f t="shared" ref="J862:J863" si="41">G862*11/12</f>
        <v>288.75</v>
      </c>
      <c r="K862" s="9"/>
      <c r="L862" s="26"/>
      <c r="M862" s="26"/>
      <c r="N862" s="26"/>
    </row>
    <row r="863" ht="12.75" hidden="1" customHeight="1">
      <c r="A863" s="27" t="s">
        <v>2237</v>
      </c>
      <c r="B863" s="27" t="s">
        <v>2238</v>
      </c>
      <c r="C863" s="27" t="s">
        <v>1988</v>
      </c>
      <c r="D863" s="3" t="s">
        <v>2239</v>
      </c>
      <c r="E863" s="4">
        <v>0.0</v>
      </c>
      <c r="F863" s="5"/>
      <c r="G863" s="9">
        <v>355.0</v>
      </c>
      <c r="H863" s="51" t="s">
        <v>254</v>
      </c>
      <c r="I863" s="25">
        <v>750.0</v>
      </c>
      <c r="J863" s="9">
        <f t="shared" si="41"/>
        <v>325.4166667</v>
      </c>
      <c r="K863" s="9"/>
      <c r="L863" s="26"/>
      <c r="M863" s="26"/>
      <c r="N863" s="26"/>
    </row>
    <row r="864" ht="12.75" hidden="1" customHeight="1">
      <c r="A864" s="22" t="s">
        <v>2240</v>
      </c>
      <c r="B864" s="27" t="s">
        <v>2241</v>
      </c>
      <c r="C864" s="27" t="s">
        <v>2242</v>
      </c>
      <c r="D864" s="3"/>
      <c r="E864" s="4"/>
      <c r="F864" s="5"/>
      <c r="G864" s="6"/>
      <c r="H864" s="71"/>
      <c r="I864" s="8"/>
      <c r="J864" s="9"/>
      <c r="K864" s="9"/>
      <c r="L864" s="26"/>
      <c r="M864" s="26"/>
      <c r="N864" s="26"/>
    </row>
    <row r="865" ht="12.75" hidden="1" customHeight="1">
      <c r="A865" s="22" t="s">
        <v>2243</v>
      </c>
      <c r="B865" s="27" t="s">
        <v>2244</v>
      </c>
      <c r="C865" s="27" t="s">
        <v>2245</v>
      </c>
      <c r="D865" s="3"/>
      <c r="E865" s="4"/>
      <c r="F865" s="5"/>
      <c r="G865" s="6"/>
      <c r="H865" s="71"/>
      <c r="I865" s="8"/>
      <c r="J865" s="9"/>
      <c r="K865" s="9"/>
      <c r="L865" s="26"/>
      <c r="M865" s="26"/>
      <c r="N865" s="26"/>
    </row>
    <row r="866" ht="12.75" hidden="1" customHeight="1">
      <c r="A866" s="38" t="s">
        <v>2246</v>
      </c>
      <c r="B866" s="30" t="s">
        <v>2247</v>
      </c>
      <c r="C866" s="27" t="s">
        <v>2248</v>
      </c>
      <c r="D866" s="77">
        <v>0.456</v>
      </c>
      <c r="E866" s="4"/>
      <c r="F866" s="5"/>
      <c r="G866" s="155">
        <v>6800.0</v>
      </c>
      <c r="H866" s="32"/>
      <c r="I866" s="156">
        <v>9800.0</v>
      </c>
      <c r="J866" s="33"/>
      <c r="K866" s="80"/>
      <c r="L866" s="26"/>
      <c r="M866" s="26"/>
      <c r="N866" s="26"/>
    </row>
    <row r="867" ht="12.75" hidden="1" customHeight="1">
      <c r="A867" s="38" t="s">
        <v>2249</v>
      </c>
      <c r="B867" s="30" t="s">
        <v>2250</v>
      </c>
      <c r="C867" s="27" t="s">
        <v>2251</v>
      </c>
      <c r="D867" s="77">
        <v>0.454</v>
      </c>
      <c r="E867" s="4"/>
      <c r="F867" s="5"/>
      <c r="G867" s="155">
        <v>6600.0</v>
      </c>
      <c r="H867" s="32"/>
      <c r="I867" s="156">
        <v>9500.0</v>
      </c>
      <c r="J867" s="33"/>
      <c r="K867" s="80"/>
      <c r="L867" s="26"/>
      <c r="M867" s="26"/>
      <c r="N867" s="26"/>
    </row>
    <row r="868" ht="12.75" hidden="1" customHeight="1">
      <c r="A868" s="157" t="s">
        <v>523</v>
      </c>
      <c r="B868" s="30" t="s">
        <v>2252</v>
      </c>
      <c r="C868" s="27" t="s">
        <v>2253</v>
      </c>
      <c r="D868" s="77">
        <v>0.477</v>
      </c>
      <c r="E868" s="4"/>
      <c r="F868" s="5"/>
      <c r="G868" s="155">
        <v>6400.0</v>
      </c>
      <c r="H868" s="32"/>
      <c r="I868" s="156">
        <v>9000.0</v>
      </c>
      <c r="J868" s="33"/>
      <c r="K868" s="80"/>
      <c r="L868" s="26"/>
      <c r="M868" s="26"/>
      <c r="N868" s="26"/>
    </row>
    <row r="869" ht="12.75" hidden="1" customHeight="1">
      <c r="A869" s="27" t="s">
        <v>2254</v>
      </c>
      <c r="B869" s="22" t="s">
        <v>2255</v>
      </c>
      <c r="C869" s="27" t="s">
        <v>633</v>
      </c>
      <c r="D869" s="32"/>
      <c r="E869" s="69"/>
      <c r="F869" s="29"/>
      <c r="G869" s="39" t="s">
        <v>2256</v>
      </c>
      <c r="H869" s="52" t="s">
        <v>2257</v>
      </c>
      <c r="I869" s="25">
        <v>550.0</v>
      </c>
      <c r="J869" s="82" t="s">
        <v>2258</v>
      </c>
      <c r="K869" s="33"/>
      <c r="L869" s="26"/>
      <c r="M869" s="26"/>
      <c r="N869" s="26"/>
    </row>
    <row r="870" ht="12.75" hidden="1" customHeight="1">
      <c r="A870" s="27" t="s">
        <v>2259</v>
      </c>
      <c r="B870" s="22" t="s">
        <v>2260</v>
      </c>
      <c r="C870" s="27" t="s">
        <v>641</v>
      </c>
      <c r="D870" s="32"/>
      <c r="E870" s="69"/>
      <c r="F870" s="29"/>
      <c r="G870" s="25">
        <v>230.0</v>
      </c>
      <c r="H870" s="52" t="s">
        <v>1874</v>
      </c>
      <c r="I870" s="25">
        <v>550.0</v>
      </c>
      <c r="J870" s="58"/>
      <c r="K870" s="33"/>
      <c r="L870" s="26"/>
      <c r="M870" s="26"/>
      <c r="N870" s="26"/>
    </row>
    <row r="871" ht="12.75" hidden="1" customHeight="1">
      <c r="A871" s="27" t="s">
        <v>2261</v>
      </c>
      <c r="B871" s="22" t="s">
        <v>2262</v>
      </c>
      <c r="C871" s="27" t="s">
        <v>659</v>
      </c>
      <c r="D871" s="28"/>
      <c r="E871" s="69"/>
      <c r="F871" s="29"/>
      <c r="G871" s="25">
        <v>225.0</v>
      </c>
      <c r="H871" s="32" t="s">
        <v>254</v>
      </c>
      <c r="I871" s="25">
        <v>580.0</v>
      </c>
      <c r="J871" s="58">
        <v>206.0</v>
      </c>
      <c r="K871" s="33"/>
      <c r="L871" s="26"/>
      <c r="M871" s="26"/>
      <c r="N871" s="26"/>
    </row>
    <row r="872" ht="12.75" hidden="1" customHeight="1">
      <c r="A872" s="27" t="s">
        <v>2263</v>
      </c>
      <c r="B872" s="22" t="s">
        <v>2264</v>
      </c>
      <c r="C872" s="27" t="s">
        <v>667</v>
      </c>
      <c r="D872" s="28"/>
      <c r="E872" s="69"/>
      <c r="F872" s="29"/>
      <c r="G872" s="25">
        <v>210.0</v>
      </c>
      <c r="H872" s="52"/>
      <c r="I872" s="25">
        <v>550.0</v>
      </c>
      <c r="J872" s="58">
        <f t="shared" ref="J872:J876" si="42">G872*11/12</f>
        <v>192.5</v>
      </c>
      <c r="K872" s="33"/>
      <c r="L872" s="26"/>
      <c r="M872" s="26"/>
      <c r="N872" s="26"/>
    </row>
    <row r="873" ht="12.75" hidden="1" customHeight="1">
      <c r="A873" s="53" t="s">
        <v>2265</v>
      </c>
      <c r="B873" s="22" t="s">
        <v>2266</v>
      </c>
      <c r="C873" s="27" t="s">
        <v>679</v>
      </c>
      <c r="D873" s="81"/>
      <c r="E873" s="69"/>
      <c r="F873" s="29"/>
      <c r="G873" s="25">
        <v>210.0</v>
      </c>
      <c r="H873" s="52" t="s">
        <v>668</v>
      </c>
      <c r="I873" s="25">
        <v>550.0</v>
      </c>
      <c r="J873" s="58">
        <f t="shared" si="42"/>
        <v>192.5</v>
      </c>
      <c r="K873" s="33"/>
      <c r="L873" s="26"/>
      <c r="M873" s="26"/>
      <c r="N873" s="26"/>
    </row>
    <row r="874" ht="12.75" hidden="1" customHeight="1">
      <c r="A874" s="53" t="s">
        <v>2267</v>
      </c>
      <c r="B874" s="22" t="s">
        <v>2268</v>
      </c>
      <c r="C874" s="27" t="s">
        <v>696</v>
      </c>
      <c r="D874" s="81"/>
      <c r="E874" s="69"/>
      <c r="F874" s="29"/>
      <c r="G874" s="39">
        <v>225.0</v>
      </c>
      <c r="H874" s="52" t="s">
        <v>254</v>
      </c>
      <c r="I874" s="25">
        <v>580.0</v>
      </c>
      <c r="J874" s="58">
        <f t="shared" si="42"/>
        <v>206.25</v>
      </c>
      <c r="K874" s="33"/>
      <c r="L874" s="26"/>
      <c r="M874" s="26"/>
      <c r="N874" s="26"/>
    </row>
    <row r="875" ht="12.75" hidden="1" customHeight="1">
      <c r="A875" s="27" t="s">
        <v>2269</v>
      </c>
      <c r="B875" s="22" t="s">
        <v>2270</v>
      </c>
      <c r="C875" s="27" t="s">
        <v>704</v>
      </c>
      <c r="D875" s="32"/>
      <c r="E875" s="69"/>
      <c r="F875" s="29"/>
      <c r="G875" s="25">
        <v>240.0</v>
      </c>
      <c r="H875" s="32" t="s">
        <v>254</v>
      </c>
      <c r="I875" s="25">
        <v>580.0</v>
      </c>
      <c r="J875" s="58">
        <f t="shared" si="42"/>
        <v>220</v>
      </c>
      <c r="K875" s="31"/>
      <c r="L875" s="26"/>
      <c r="M875" s="26"/>
      <c r="N875" s="26"/>
    </row>
    <row r="876" ht="12.75" hidden="1" customHeight="1">
      <c r="A876" s="27" t="s">
        <v>2271</v>
      </c>
      <c r="B876" s="22" t="s">
        <v>2272</v>
      </c>
      <c r="C876" s="27" t="s">
        <v>704</v>
      </c>
      <c r="D876" s="32"/>
      <c r="E876" s="69"/>
      <c r="F876" s="29"/>
      <c r="G876" s="25">
        <v>240.0</v>
      </c>
      <c r="H876" s="32" t="s">
        <v>254</v>
      </c>
      <c r="I876" s="25">
        <v>580.0</v>
      </c>
      <c r="J876" s="58">
        <f t="shared" si="42"/>
        <v>220</v>
      </c>
      <c r="K876" s="31"/>
      <c r="L876" s="26"/>
      <c r="M876" s="26"/>
      <c r="N876" s="26"/>
    </row>
    <row r="877" ht="12.75" hidden="1" customHeight="1">
      <c r="A877" s="53" t="s">
        <v>2273</v>
      </c>
      <c r="B877" s="22" t="s">
        <v>2274</v>
      </c>
      <c r="C877" s="27" t="s">
        <v>2275</v>
      </c>
      <c r="D877" s="32"/>
      <c r="E877" s="69"/>
      <c r="F877" s="29"/>
      <c r="G877" s="25">
        <v>550.0</v>
      </c>
      <c r="H877" s="32" t="s">
        <v>279</v>
      </c>
      <c r="I877" s="25">
        <v>1280.0</v>
      </c>
      <c r="J877" s="33"/>
      <c r="K877" s="33"/>
      <c r="L877" s="26"/>
      <c r="M877" s="26"/>
      <c r="N877" s="26"/>
    </row>
    <row r="878" ht="12.75" hidden="1" customHeight="1">
      <c r="A878" s="53" t="s">
        <v>2276</v>
      </c>
      <c r="B878" s="53" t="s">
        <v>2277</v>
      </c>
      <c r="C878" s="27" t="s">
        <v>2278</v>
      </c>
      <c r="D878" s="28"/>
      <c r="E878" s="4">
        <v>0.0</v>
      </c>
      <c r="F878" s="5"/>
      <c r="G878" s="9">
        <v>455.0</v>
      </c>
      <c r="H878" s="32" t="s">
        <v>254</v>
      </c>
      <c r="I878" s="25">
        <v>1000.0</v>
      </c>
      <c r="J878" s="25">
        <f>G878*11/12</f>
        <v>417.0833333</v>
      </c>
      <c r="K878" s="9"/>
      <c r="L878" s="26"/>
      <c r="M878" s="26"/>
      <c r="N878" s="26"/>
    </row>
    <row r="879" ht="12.75" hidden="1" customHeight="1">
      <c r="A879" s="27" t="s">
        <v>2279</v>
      </c>
      <c r="B879" s="53" t="s">
        <v>2280</v>
      </c>
      <c r="C879" s="27" t="s">
        <v>2281</v>
      </c>
      <c r="D879" s="28"/>
      <c r="E879" s="4"/>
      <c r="F879" s="5"/>
      <c r="G879" s="9">
        <v>1050.0</v>
      </c>
      <c r="H879" s="32" t="s">
        <v>2282</v>
      </c>
      <c r="I879" s="25">
        <v>1050.0</v>
      </c>
      <c r="J879" s="25">
        <v>494.0</v>
      </c>
      <c r="K879" s="9"/>
      <c r="L879" s="26"/>
      <c r="M879" s="26"/>
      <c r="N879" s="26"/>
    </row>
    <row r="880" ht="12.75" hidden="1" customHeight="1">
      <c r="A880" s="22" t="s">
        <v>2283</v>
      </c>
      <c r="B880" s="22" t="s">
        <v>2284</v>
      </c>
      <c r="C880" s="27" t="s">
        <v>1226</v>
      </c>
      <c r="D880" s="75" t="s">
        <v>2285</v>
      </c>
      <c r="E880" s="4"/>
      <c r="F880" s="5"/>
      <c r="G880" s="25">
        <v>1430.0</v>
      </c>
      <c r="H880" s="51" t="s">
        <v>250</v>
      </c>
      <c r="I880" s="25"/>
      <c r="J880" s="58"/>
      <c r="K880" s="9" t="s">
        <v>250</v>
      </c>
      <c r="L880" s="26"/>
      <c r="M880" s="26"/>
      <c r="N880" s="26"/>
    </row>
    <row r="881" ht="12.75" hidden="1" customHeight="1">
      <c r="A881" s="22" t="s">
        <v>2286</v>
      </c>
      <c r="B881" s="22" t="s">
        <v>2287</v>
      </c>
      <c r="C881" s="27" t="s">
        <v>2288</v>
      </c>
      <c r="D881" s="75" t="s">
        <v>1339</v>
      </c>
      <c r="E881" s="4"/>
      <c r="F881" s="5"/>
      <c r="G881" s="25">
        <v>6000.0</v>
      </c>
      <c r="H881" s="51" t="s">
        <v>254</v>
      </c>
      <c r="I881" s="25">
        <v>9800.0</v>
      </c>
      <c r="J881" s="58">
        <f t="shared" ref="J881:J883" si="43">G881*11/12</f>
        <v>5500</v>
      </c>
      <c r="K881" s="9">
        <v>6800.0</v>
      </c>
      <c r="L881" s="26"/>
      <c r="M881" s="26"/>
      <c r="N881" s="26"/>
    </row>
    <row r="882" ht="12.75" hidden="1" customHeight="1">
      <c r="A882" s="27" t="s">
        <v>2289</v>
      </c>
      <c r="B882" s="22" t="s">
        <v>2290</v>
      </c>
      <c r="C882" s="27" t="s">
        <v>2291</v>
      </c>
      <c r="D882" s="75" t="s">
        <v>2292</v>
      </c>
      <c r="E882" s="4"/>
      <c r="F882" s="5"/>
      <c r="G882" s="9">
        <v>3700.0</v>
      </c>
      <c r="H882" s="32" t="s">
        <v>254</v>
      </c>
      <c r="I882" s="25">
        <v>5800.0</v>
      </c>
      <c r="J882" s="58">
        <f t="shared" si="43"/>
        <v>3391.666667</v>
      </c>
      <c r="K882" s="9" t="s">
        <v>250</v>
      </c>
      <c r="L882" s="26"/>
      <c r="M882" s="26"/>
      <c r="N882" s="26"/>
    </row>
    <row r="883" ht="12.75" hidden="1" customHeight="1">
      <c r="A883" s="27" t="s">
        <v>2293</v>
      </c>
      <c r="B883" s="22" t="s">
        <v>2294</v>
      </c>
      <c r="C883" s="27" t="s">
        <v>2295</v>
      </c>
      <c r="D883" s="75" t="s">
        <v>2296</v>
      </c>
      <c r="E883" s="4"/>
      <c r="F883" s="5"/>
      <c r="G883" s="9">
        <v>1480.0</v>
      </c>
      <c r="H883" s="32" t="s">
        <v>254</v>
      </c>
      <c r="I883" s="25">
        <v>2800.0</v>
      </c>
      <c r="J883" s="58">
        <f t="shared" si="43"/>
        <v>1356.666667</v>
      </c>
      <c r="K883" s="9" t="s">
        <v>250</v>
      </c>
      <c r="L883" s="26"/>
      <c r="M883" s="26"/>
      <c r="N883" s="26"/>
    </row>
    <row r="884" ht="12.75" hidden="1" customHeight="1">
      <c r="A884" s="99" t="s">
        <v>2297</v>
      </c>
      <c r="B884" s="27" t="s">
        <v>2298</v>
      </c>
      <c r="C884" s="27" t="s">
        <v>2299</v>
      </c>
      <c r="D884" s="75" t="s">
        <v>2300</v>
      </c>
      <c r="E884" s="4"/>
      <c r="F884" s="5"/>
      <c r="G884" s="91">
        <v>5290.0</v>
      </c>
      <c r="H884" s="51" t="s">
        <v>250</v>
      </c>
      <c r="I884" s="8"/>
      <c r="J884" s="9"/>
      <c r="K884" s="9"/>
      <c r="L884" s="26"/>
      <c r="M884" s="26"/>
      <c r="N884" s="26"/>
    </row>
    <row r="885" ht="12.75" hidden="1" customHeight="1">
      <c r="A885" s="27" t="s">
        <v>2301</v>
      </c>
      <c r="B885" s="27" t="s">
        <v>2302</v>
      </c>
      <c r="C885" s="27" t="s">
        <v>2303</v>
      </c>
      <c r="D885" s="3"/>
      <c r="E885" s="4">
        <v>0.0</v>
      </c>
      <c r="F885" s="5"/>
      <c r="G885" s="9">
        <v>350.0</v>
      </c>
      <c r="H885" s="32" t="s">
        <v>254</v>
      </c>
      <c r="I885" s="25">
        <v>720.0</v>
      </c>
      <c r="J885" s="9">
        <f>G885*11/12</f>
        <v>320.8333333</v>
      </c>
      <c r="K885" s="9"/>
      <c r="L885" s="26"/>
      <c r="M885" s="26"/>
      <c r="N885" s="26"/>
    </row>
    <row r="886" ht="12.75" hidden="1" customHeight="1">
      <c r="A886" s="53" t="s">
        <v>2304</v>
      </c>
      <c r="B886" s="38" t="s">
        <v>2305</v>
      </c>
      <c r="C886" s="27" t="s">
        <v>2306</v>
      </c>
      <c r="D886" s="75"/>
      <c r="E886" s="4">
        <v>0.0</v>
      </c>
      <c r="F886" s="5"/>
      <c r="G886" s="25">
        <v>580.0</v>
      </c>
      <c r="H886" s="51" t="s">
        <v>254</v>
      </c>
      <c r="I886" s="50">
        <v>980.0</v>
      </c>
      <c r="J886" s="25"/>
      <c r="K886" s="25"/>
      <c r="L886" s="26"/>
      <c r="M886" s="26"/>
      <c r="N886" s="26"/>
    </row>
    <row r="887" ht="12.75" hidden="1" customHeight="1">
      <c r="A887" s="2"/>
      <c r="B887" s="2"/>
      <c r="C887" s="2"/>
      <c r="D887" s="3"/>
      <c r="E887" s="4"/>
      <c r="F887" s="5"/>
      <c r="G887" s="6"/>
      <c r="H887" s="7"/>
      <c r="I887" s="8"/>
      <c r="J887" s="9"/>
      <c r="K887" s="9"/>
      <c r="L887" s="26"/>
      <c r="M887" s="26"/>
      <c r="N887" s="26"/>
    </row>
    <row r="888" ht="12.75" hidden="1" customHeight="1">
      <c r="A888" s="2"/>
      <c r="B888" s="2"/>
      <c r="C888" s="2"/>
      <c r="D888" s="3"/>
      <c r="E888" s="4"/>
      <c r="F888" s="5"/>
      <c r="G888" s="6"/>
      <c r="H888" s="7"/>
      <c r="I888" s="8"/>
      <c r="J888" s="9"/>
      <c r="K888" s="9"/>
      <c r="L888" s="26"/>
      <c r="M888" s="26"/>
      <c r="N888" s="26"/>
    </row>
    <row r="889" ht="12.75" hidden="1" customHeight="1">
      <c r="A889" s="2"/>
      <c r="B889" s="2"/>
      <c r="C889" s="2"/>
      <c r="D889" s="3"/>
      <c r="E889" s="4"/>
      <c r="F889" s="5"/>
      <c r="G889" s="6"/>
      <c r="H889" s="7"/>
      <c r="I889" s="8"/>
      <c r="J889" s="9"/>
      <c r="K889" s="9"/>
      <c r="L889" s="26"/>
      <c r="M889" s="26"/>
      <c r="N889" s="26"/>
    </row>
    <row r="890" ht="12.75" hidden="1" customHeight="1">
      <c r="A890" s="2"/>
      <c r="B890" s="2"/>
      <c r="C890" s="2"/>
      <c r="D890" s="3"/>
      <c r="E890" s="4"/>
      <c r="F890" s="5"/>
      <c r="G890" s="6"/>
      <c r="H890" s="7"/>
      <c r="I890" s="8"/>
      <c r="J890" s="9"/>
      <c r="K890" s="9"/>
      <c r="L890" s="26"/>
      <c r="M890" s="26"/>
      <c r="N890" s="26"/>
    </row>
    <row r="891" ht="12.75" hidden="1" customHeight="1">
      <c r="A891" s="2"/>
      <c r="B891" s="2"/>
      <c r="C891" s="2"/>
      <c r="D891" s="3"/>
      <c r="E891" s="4"/>
      <c r="F891" s="5"/>
      <c r="G891" s="6"/>
      <c r="H891" s="7"/>
      <c r="I891" s="8"/>
      <c r="J891" s="9"/>
      <c r="K891" s="9"/>
      <c r="L891" s="26"/>
      <c r="M891" s="26"/>
      <c r="N891" s="26"/>
    </row>
    <row r="892" ht="12.75" hidden="1" customHeight="1">
      <c r="A892" s="2"/>
      <c r="B892" s="2"/>
      <c r="C892" s="2"/>
      <c r="D892" s="3"/>
      <c r="E892" s="4"/>
      <c r="F892" s="5"/>
      <c r="G892" s="6"/>
      <c r="H892" s="7"/>
      <c r="I892" s="8"/>
      <c r="J892" s="9"/>
      <c r="K892" s="9"/>
      <c r="L892" s="26"/>
      <c r="M892" s="26"/>
      <c r="N892" s="26"/>
    </row>
    <row r="893" ht="12.75" hidden="1" customHeight="1">
      <c r="A893" s="2"/>
      <c r="B893" s="2"/>
      <c r="C893" s="2"/>
      <c r="D893" s="3"/>
      <c r="E893" s="4"/>
      <c r="F893" s="5"/>
      <c r="G893" s="6"/>
      <c r="H893" s="7"/>
      <c r="I893" s="8"/>
      <c r="J893" s="9"/>
      <c r="K893" s="9"/>
      <c r="L893" s="26"/>
      <c r="M893" s="26"/>
      <c r="N893" s="26"/>
    </row>
    <row r="894" ht="12.75" hidden="1" customHeight="1">
      <c r="A894" s="2"/>
      <c r="B894" s="2"/>
      <c r="C894" s="2"/>
      <c r="D894" s="3"/>
      <c r="E894" s="4"/>
      <c r="F894" s="5"/>
      <c r="G894" s="6"/>
      <c r="H894" s="7"/>
      <c r="I894" s="8"/>
      <c r="J894" s="9"/>
      <c r="K894" s="9"/>
      <c r="L894" s="26"/>
      <c r="M894" s="26"/>
      <c r="N894" s="26"/>
    </row>
    <row r="895" ht="12.75" hidden="1" customHeight="1">
      <c r="A895" s="2"/>
      <c r="B895" s="2"/>
      <c r="C895" s="2"/>
      <c r="D895" s="3"/>
      <c r="E895" s="4"/>
      <c r="F895" s="5"/>
      <c r="G895" s="6"/>
      <c r="H895" s="7"/>
      <c r="I895" s="8"/>
      <c r="J895" s="9"/>
      <c r="K895" s="9"/>
      <c r="L895" s="26"/>
      <c r="M895" s="26"/>
      <c r="N895" s="26"/>
    </row>
    <row r="896" ht="12.75" hidden="1" customHeight="1">
      <c r="A896" s="2"/>
      <c r="B896" s="2"/>
      <c r="C896" s="2"/>
      <c r="D896" s="3"/>
      <c r="E896" s="4"/>
      <c r="F896" s="5"/>
      <c r="G896" s="6"/>
      <c r="H896" s="7"/>
      <c r="I896" s="8"/>
      <c r="J896" s="9"/>
      <c r="K896" s="9"/>
      <c r="L896" s="26"/>
      <c r="M896" s="26"/>
      <c r="N896" s="26"/>
    </row>
    <row r="897" ht="12.75" hidden="1" customHeight="1">
      <c r="A897" s="2"/>
      <c r="B897" s="2"/>
      <c r="C897" s="2"/>
      <c r="D897" s="3"/>
      <c r="E897" s="4"/>
      <c r="F897" s="5"/>
      <c r="G897" s="6"/>
      <c r="H897" s="7"/>
      <c r="I897" s="8"/>
      <c r="J897" s="9"/>
      <c r="K897" s="9"/>
      <c r="L897" s="26"/>
      <c r="M897" s="26"/>
      <c r="N897" s="26"/>
    </row>
    <row r="898" ht="12.75" hidden="1" customHeight="1">
      <c r="A898" s="2"/>
      <c r="B898" s="2"/>
      <c r="C898" s="2"/>
      <c r="D898" s="3"/>
      <c r="E898" s="4"/>
      <c r="F898" s="5"/>
      <c r="G898" s="6"/>
      <c r="H898" s="7"/>
      <c r="I898" s="8"/>
      <c r="J898" s="9"/>
      <c r="K898" s="9"/>
      <c r="L898" s="26"/>
      <c r="M898" s="26"/>
      <c r="N898" s="26"/>
    </row>
    <row r="899" ht="12.75" hidden="1" customHeight="1">
      <c r="A899" s="2"/>
      <c r="B899" s="2"/>
      <c r="C899" s="2"/>
      <c r="D899" s="3"/>
      <c r="E899" s="4"/>
      <c r="F899" s="5"/>
      <c r="G899" s="6"/>
      <c r="H899" s="7"/>
      <c r="I899" s="8"/>
      <c r="J899" s="9"/>
      <c r="K899" s="9"/>
      <c r="L899" s="26"/>
      <c r="M899" s="26"/>
      <c r="N899" s="26"/>
    </row>
    <row r="900" ht="12.75" hidden="1" customHeight="1">
      <c r="A900" s="2"/>
      <c r="B900" s="2"/>
      <c r="C900" s="2"/>
      <c r="D900" s="3"/>
      <c r="E900" s="4"/>
      <c r="F900" s="5"/>
      <c r="G900" s="6"/>
      <c r="H900" s="7"/>
      <c r="I900" s="8"/>
      <c r="J900" s="9"/>
      <c r="K900" s="9"/>
      <c r="L900" s="26"/>
      <c r="M900" s="26"/>
      <c r="N900" s="26"/>
    </row>
    <row r="901" ht="12.75" hidden="1" customHeight="1">
      <c r="A901" s="2"/>
      <c r="B901" s="2"/>
      <c r="C901" s="2"/>
      <c r="D901" s="3"/>
      <c r="E901" s="4"/>
      <c r="F901" s="5"/>
      <c r="G901" s="6"/>
      <c r="H901" s="7"/>
      <c r="I901" s="8"/>
      <c r="J901" s="9"/>
      <c r="K901" s="9"/>
      <c r="L901" s="26"/>
      <c r="M901" s="26"/>
      <c r="N901" s="26"/>
    </row>
    <row r="902" ht="12.75" hidden="1" customHeight="1">
      <c r="A902" s="2"/>
      <c r="B902" s="2"/>
      <c r="C902" s="2"/>
      <c r="D902" s="3"/>
      <c r="E902" s="4"/>
      <c r="F902" s="5"/>
      <c r="G902" s="6"/>
      <c r="H902" s="7"/>
      <c r="I902" s="8"/>
      <c r="J902" s="9"/>
      <c r="K902" s="9"/>
      <c r="L902" s="26"/>
      <c r="M902" s="26"/>
      <c r="N902" s="26"/>
    </row>
    <row r="903" ht="12.75" hidden="1" customHeight="1">
      <c r="A903" s="2"/>
      <c r="B903" s="2"/>
      <c r="C903" s="2"/>
      <c r="D903" s="3"/>
      <c r="E903" s="4"/>
      <c r="F903" s="5"/>
      <c r="G903" s="6"/>
      <c r="H903" s="7"/>
      <c r="I903" s="8"/>
      <c r="J903" s="9"/>
      <c r="K903" s="9"/>
      <c r="L903" s="26"/>
      <c r="M903" s="26"/>
      <c r="N903" s="26"/>
    </row>
    <row r="904" ht="12.75" hidden="1" customHeight="1">
      <c r="A904" s="2"/>
      <c r="B904" s="2"/>
      <c r="C904" s="2"/>
      <c r="D904" s="3"/>
      <c r="E904" s="4"/>
      <c r="F904" s="5"/>
      <c r="G904" s="6"/>
      <c r="H904" s="7"/>
      <c r="I904" s="8"/>
      <c r="J904" s="9"/>
      <c r="K904" s="9"/>
      <c r="L904" s="26"/>
      <c r="M904" s="26"/>
      <c r="N904" s="26"/>
    </row>
    <row r="905" ht="12.75" hidden="1" customHeight="1">
      <c r="A905" s="2"/>
      <c r="B905" s="2"/>
      <c r="C905" s="2"/>
      <c r="D905" s="3"/>
      <c r="E905" s="4"/>
      <c r="F905" s="5"/>
      <c r="G905" s="6"/>
      <c r="H905" s="7"/>
      <c r="I905" s="8"/>
      <c r="J905" s="9"/>
      <c r="K905" s="9"/>
      <c r="L905" s="26"/>
      <c r="M905" s="26"/>
      <c r="N905" s="26"/>
    </row>
    <row r="906" ht="12.75" hidden="1" customHeight="1">
      <c r="A906" s="2"/>
      <c r="B906" s="2"/>
      <c r="C906" s="2"/>
      <c r="D906" s="3"/>
      <c r="E906" s="4"/>
      <c r="F906" s="5"/>
      <c r="G906" s="6"/>
      <c r="H906" s="7"/>
      <c r="I906" s="8"/>
      <c r="J906" s="9"/>
      <c r="K906" s="9"/>
      <c r="L906" s="26"/>
      <c r="M906" s="26"/>
      <c r="N906" s="26"/>
    </row>
    <row r="907" ht="12.75" hidden="1" customHeight="1">
      <c r="A907" s="2"/>
      <c r="B907" s="2"/>
      <c r="C907" s="2"/>
      <c r="D907" s="3"/>
      <c r="E907" s="4"/>
      <c r="F907" s="5"/>
      <c r="G907" s="6"/>
      <c r="H907" s="7"/>
      <c r="I907" s="8"/>
      <c r="J907" s="9"/>
      <c r="K907" s="9"/>
      <c r="L907" s="26"/>
      <c r="M907" s="26"/>
      <c r="N907" s="26"/>
    </row>
    <row r="908" ht="12.75" hidden="1" customHeight="1">
      <c r="A908" s="2"/>
      <c r="B908" s="2"/>
      <c r="C908" s="2"/>
      <c r="D908" s="3"/>
      <c r="E908" s="4"/>
      <c r="F908" s="5"/>
      <c r="G908" s="6"/>
      <c r="H908" s="7"/>
      <c r="I908" s="8"/>
      <c r="J908" s="9"/>
      <c r="K908" s="9"/>
      <c r="L908" s="26"/>
      <c r="M908" s="26"/>
      <c r="N908" s="26"/>
    </row>
    <row r="909" ht="12.75" hidden="1" customHeight="1">
      <c r="A909" s="2"/>
      <c r="B909" s="2"/>
      <c r="C909" s="2"/>
      <c r="D909" s="3"/>
      <c r="E909" s="4"/>
      <c r="F909" s="5"/>
      <c r="G909" s="6"/>
      <c r="H909" s="7"/>
      <c r="I909" s="8"/>
      <c r="J909" s="9"/>
      <c r="K909" s="9"/>
      <c r="L909" s="26"/>
      <c r="M909" s="26"/>
      <c r="N909" s="26"/>
    </row>
    <row r="910" ht="12.75" hidden="1" customHeight="1">
      <c r="A910" s="2"/>
      <c r="B910" s="2"/>
      <c r="C910" s="2"/>
      <c r="D910" s="3"/>
      <c r="E910" s="4"/>
      <c r="F910" s="5"/>
      <c r="G910" s="6"/>
      <c r="H910" s="7"/>
      <c r="I910" s="8"/>
      <c r="J910" s="9"/>
      <c r="K910" s="9"/>
      <c r="L910" s="26"/>
      <c r="M910" s="26"/>
      <c r="N910" s="26"/>
    </row>
    <row r="911" ht="12.75" hidden="1" customHeight="1">
      <c r="A911" s="2"/>
      <c r="B911" s="2"/>
      <c r="C911" s="2"/>
      <c r="D911" s="3"/>
      <c r="E911" s="4"/>
      <c r="F911" s="5"/>
      <c r="G911" s="6"/>
      <c r="H911" s="7"/>
      <c r="I911" s="8"/>
      <c r="J911" s="9"/>
      <c r="K911" s="9"/>
      <c r="L911" s="26"/>
      <c r="M911" s="26"/>
      <c r="N911" s="26"/>
    </row>
    <row r="912" ht="12.75" hidden="1" customHeight="1">
      <c r="A912" s="2"/>
      <c r="B912" s="2"/>
      <c r="C912" s="2"/>
      <c r="D912" s="3"/>
      <c r="E912" s="4"/>
      <c r="F912" s="5"/>
      <c r="G912" s="6"/>
      <c r="H912" s="7"/>
      <c r="I912" s="8"/>
      <c r="J912" s="9"/>
      <c r="K912" s="9"/>
      <c r="L912" s="26"/>
      <c r="M912" s="26"/>
      <c r="N912" s="26"/>
    </row>
    <row r="913" ht="12.75" hidden="1" customHeight="1">
      <c r="A913" s="2"/>
      <c r="B913" s="2"/>
      <c r="C913" s="2"/>
      <c r="D913" s="3"/>
      <c r="E913" s="4"/>
      <c r="F913" s="5"/>
      <c r="G913" s="6"/>
      <c r="H913" s="7"/>
      <c r="I913" s="8"/>
      <c r="J913" s="9"/>
      <c r="K913" s="9"/>
      <c r="L913" s="26"/>
      <c r="M913" s="26"/>
      <c r="N913" s="26"/>
    </row>
    <row r="914" ht="12.75" hidden="1" customHeight="1">
      <c r="A914" s="2"/>
      <c r="B914" s="2"/>
      <c r="C914" s="2"/>
      <c r="D914" s="3"/>
      <c r="E914" s="4"/>
      <c r="F914" s="5"/>
      <c r="G914" s="6"/>
      <c r="H914" s="7"/>
      <c r="I914" s="8"/>
      <c r="J914" s="9"/>
      <c r="K914" s="9"/>
      <c r="L914" s="26"/>
      <c r="M914" s="26"/>
      <c r="N914" s="26"/>
    </row>
    <row r="915" ht="12.75" hidden="1" customHeight="1">
      <c r="A915" s="2"/>
      <c r="B915" s="2"/>
      <c r="C915" s="2"/>
      <c r="D915" s="3"/>
      <c r="E915" s="4"/>
      <c r="F915" s="5"/>
      <c r="G915" s="6"/>
      <c r="H915" s="7"/>
      <c r="I915" s="8"/>
      <c r="J915" s="9"/>
      <c r="K915" s="9"/>
      <c r="L915" s="26"/>
      <c r="M915" s="26"/>
      <c r="N915" s="26"/>
    </row>
    <row r="916" ht="12.75" hidden="1" customHeight="1">
      <c r="A916" s="2"/>
      <c r="B916" s="2"/>
      <c r="C916" s="2"/>
      <c r="D916" s="3"/>
      <c r="E916" s="4"/>
      <c r="F916" s="5"/>
      <c r="G916" s="6"/>
      <c r="H916" s="7"/>
      <c r="I916" s="8"/>
      <c r="J916" s="9"/>
      <c r="K916" s="9"/>
      <c r="L916" s="26"/>
      <c r="M916" s="26"/>
      <c r="N916" s="26"/>
    </row>
    <row r="917" ht="12.75" hidden="1" customHeight="1">
      <c r="A917" s="2"/>
      <c r="B917" s="2"/>
      <c r="C917" s="2"/>
      <c r="D917" s="3"/>
      <c r="E917" s="4"/>
      <c r="F917" s="5"/>
      <c r="G917" s="6"/>
      <c r="H917" s="7"/>
      <c r="I917" s="8"/>
      <c r="J917" s="9"/>
      <c r="K917" s="9"/>
      <c r="L917" s="26"/>
      <c r="M917" s="26"/>
      <c r="N917" s="26"/>
    </row>
    <row r="918" ht="12.75" hidden="1" customHeight="1">
      <c r="A918" s="2"/>
      <c r="B918" s="2"/>
      <c r="C918" s="2"/>
      <c r="D918" s="3"/>
      <c r="E918" s="4"/>
      <c r="F918" s="5"/>
      <c r="G918" s="6"/>
      <c r="H918" s="7"/>
      <c r="I918" s="8"/>
      <c r="J918" s="9"/>
      <c r="K918" s="9"/>
      <c r="L918" s="26"/>
      <c r="M918" s="26"/>
      <c r="N918" s="26"/>
    </row>
    <row r="919" ht="12.75" hidden="1" customHeight="1">
      <c r="A919" s="2"/>
      <c r="B919" s="2"/>
      <c r="C919" s="2"/>
      <c r="D919" s="3"/>
      <c r="E919" s="4"/>
      <c r="F919" s="5"/>
      <c r="G919" s="6"/>
      <c r="H919" s="7"/>
      <c r="I919" s="8"/>
      <c r="J919" s="9"/>
      <c r="K919" s="9"/>
      <c r="L919" s="26"/>
      <c r="M919" s="26"/>
      <c r="N919" s="26"/>
    </row>
    <row r="920" ht="12.75" hidden="1" customHeight="1">
      <c r="A920" s="2"/>
      <c r="B920" s="2"/>
      <c r="C920" s="2"/>
      <c r="D920" s="3"/>
      <c r="E920" s="4"/>
      <c r="F920" s="5"/>
      <c r="G920" s="6"/>
      <c r="H920" s="7"/>
      <c r="I920" s="8"/>
      <c r="J920" s="9"/>
      <c r="K920" s="9"/>
      <c r="L920" s="26"/>
      <c r="M920" s="26"/>
      <c r="N920" s="26"/>
    </row>
    <row r="921" ht="12.75" hidden="1" customHeight="1">
      <c r="A921" s="2"/>
      <c r="B921" s="2"/>
      <c r="C921" s="2"/>
      <c r="D921" s="3"/>
      <c r="E921" s="4"/>
      <c r="F921" s="5"/>
      <c r="G921" s="6"/>
      <c r="H921" s="7"/>
      <c r="I921" s="8"/>
      <c r="J921" s="9"/>
      <c r="K921" s="9"/>
      <c r="L921" s="26"/>
      <c r="M921" s="26"/>
      <c r="N921" s="26"/>
    </row>
    <row r="922" ht="12.75" hidden="1" customHeight="1">
      <c r="A922" s="2"/>
      <c r="B922" s="2"/>
      <c r="C922" s="2"/>
      <c r="D922" s="3"/>
      <c r="E922" s="4"/>
      <c r="F922" s="5"/>
      <c r="G922" s="6"/>
      <c r="H922" s="7"/>
      <c r="I922" s="8"/>
      <c r="J922" s="9"/>
      <c r="K922" s="9"/>
      <c r="L922" s="26"/>
      <c r="M922" s="26"/>
      <c r="N922" s="26"/>
    </row>
    <row r="923" ht="12.75" hidden="1" customHeight="1">
      <c r="A923" s="2"/>
      <c r="B923" s="2"/>
      <c r="C923" s="2"/>
      <c r="D923" s="3"/>
      <c r="E923" s="4"/>
      <c r="F923" s="5"/>
      <c r="G923" s="6"/>
      <c r="H923" s="7"/>
      <c r="I923" s="8"/>
      <c r="J923" s="9"/>
      <c r="K923" s="9"/>
      <c r="L923" s="26"/>
      <c r="M923" s="26"/>
      <c r="N923" s="26"/>
    </row>
    <row r="924" ht="12.75" hidden="1" customHeight="1">
      <c r="A924" s="2"/>
      <c r="B924" s="2"/>
      <c r="C924" s="2"/>
      <c r="D924" s="3"/>
      <c r="E924" s="4"/>
      <c r="F924" s="5"/>
      <c r="G924" s="6"/>
      <c r="H924" s="7"/>
      <c r="I924" s="8"/>
      <c r="J924" s="9"/>
      <c r="K924" s="9"/>
      <c r="L924" s="26"/>
      <c r="M924" s="26"/>
      <c r="N924" s="26"/>
    </row>
    <row r="925" ht="12.75" hidden="1" customHeight="1">
      <c r="A925" s="2"/>
      <c r="B925" s="2"/>
      <c r="C925" s="2"/>
      <c r="D925" s="3"/>
      <c r="E925" s="4"/>
      <c r="F925" s="5"/>
      <c r="G925" s="6"/>
      <c r="H925" s="7"/>
      <c r="I925" s="8"/>
      <c r="J925" s="9"/>
      <c r="K925" s="9"/>
      <c r="L925" s="26"/>
      <c r="M925" s="26"/>
      <c r="N925" s="26"/>
    </row>
    <row r="926" ht="12.75" hidden="1" customHeight="1">
      <c r="A926" s="2"/>
      <c r="B926" s="2"/>
      <c r="C926" s="2"/>
      <c r="D926" s="3"/>
      <c r="E926" s="4"/>
      <c r="F926" s="5"/>
      <c r="G926" s="6"/>
      <c r="H926" s="7"/>
      <c r="I926" s="8"/>
      <c r="J926" s="9"/>
      <c r="K926" s="9"/>
      <c r="L926" s="26"/>
      <c r="M926" s="26"/>
      <c r="N926" s="26"/>
    </row>
    <row r="927" ht="12.75" hidden="1" customHeight="1">
      <c r="A927" s="2"/>
      <c r="B927" s="2"/>
      <c r="C927" s="2"/>
      <c r="D927" s="3"/>
      <c r="E927" s="4"/>
      <c r="F927" s="5"/>
      <c r="G927" s="6"/>
      <c r="H927" s="7"/>
      <c r="I927" s="8"/>
      <c r="J927" s="9"/>
      <c r="K927" s="9"/>
      <c r="L927" s="26"/>
      <c r="M927" s="26"/>
      <c r="N927" s="26"/>
    </row>
    <row r="928" ht="12.75" hidden="1" customHeight="1">
      <c r="A928" s="2"/>
      <c r="B928" s="2"/>
      <c r="C928" s="2"/>
      <c r="D928" s="3"/>
      <c r="E928" s="4"/>
      <c r="F928" s="5"/>
      <c r="G928" s="6"/>
      <c r="H928" s="7"/>
      <c r="I928" s="8"/>
      <c r="J928" s="9"/>
      <c r="K928" s="9"/>
      <c r="L928" s="26"/>
      <c r="M928" s="26"/>
      <c r="N928" s="26"/>
    </row>
    <row r="929" ht="12.75" hidden="1" customHeight="1">
      <c r="A929" s="2"/>
      <c r="B929" s="2"/>
      <c r="C929" s="2"/>
      <c r="D929" s="3"/>
      <c r="E929" s="4"/>
      <c r="F929" s="5"/>
      <c r="G929" s="6"/>
      <c r="H929" s="7"/>
      <c r="I929" s="8"/>
      <c r="J929" s="9"/>
      <c r="K929" s="9"/>
      <c r="L929" s="26"/>
      <c r="M929" s="26"/>
      <c r="N929" s="26"/>
    </row>
    <row r="930" ht="12.75" hidden="1" customHeight="1">
      <c r="A930" s="2"/>
      <c r="B930" s="2"/>
      <c r="C930" s="2"/>
      <c r="D930" s="3"/>
      <c r="E930" s="4"/>
      <c r="F930" s="5"/>
      <c r="G930" s="6"/>
      <c r="H930" s="7"/>
      <c r="I930" s="8"/>
      <c r="J930" s="9"/>
      <c r="K930" s="9"/>
      <c r="L930" s="26"/>
      <c r="M930" s="26"/>
      <c r="N930" s="26"/>
    </row>
    <row r="931" ht="12.75" hidden="1" customHeight="1">
      <c r="A931" s="2"/>
      <c r="B931" s="2"/>
      <c r="C931" s="2"/>
      <c r="D931" s="3"/>
      <c r="E931" s="4"/>
      <c r="F931" s="5"/>
      <c r="G931" s="6"/>
      <c r="H931" s="7"/>
      <c r="I931" s="8"/>
      <c r="J931" s="9"/>
      <c r="K931" s="9"/>
      <c r="L931" s="26"/>
      <c r="M931" s="26"/>
      <c r="N931" s="26"/>
    </row>
    <row r="932" ht="12.75" hidden="1" customHeight="1">
      <c r="A932" s="2"/>
      <c r="B932" s="2"/>
      <c r="C932" s="2"/>
      <c r="D932" s="3"/>
      <c r="E932" s="4"/>
      <c r="F932" s="5"/>
      <c r="G932" s="6"/>
      <c r="H932" s="7"/>
      <c r="I932" s="8"/>
      <c r="J932" s="9"/>
      <c r="K932" s="9"/>
      <c r="L932" s="26"/>
      <c r="M932" s="26"/>
      <c r="N932" s="26"/>
    </row>
    <row r="933" ht="12.75" hidden="1" customHeight="1">
      <c r="A933" s="2"/>
      <c r="B933" s="2"/>
      <c r="C933" s="2"/>
      <c r="D933" s="3"/>
      <c r="E933" s="4"/>
      <c r="F933" s="5"/>
      <c r="G933" s="6"/>
      <c r="H933" s="7"/>
      <c r="I933" s="8"/>
      <c r="J933" s="9"/>
      <c r="K933" s="9"/>
      <c r="L933" s="26"/>
      <c r="M933" s="26"/>
      <c r="N933" s="26"/>
    </row>
    <row r="934" ht="12.75" hidden="1" customHeight="1">
      <c r="A934" s="2"/>
      <c r="B934" s="2"/>
      <c r="C934" s="2"/>
      <c r="D934" s="3"/>
      <c r="E934" s="4"/>
      <c r="F934" s="5"/>
      <c r="G934" s="6"/>
      <c r="H934" s="7"/>
      <c r="I934" s="8"/>
      <c r="J934" s="9"/>
      <c r="K934" s="9"/>
      <c r="L934" s="26"/>
      <c r="M934" s="26"/>
      <c r="N934" s="26"/>
    </row>
    <row r="935" ht="12.75" hidden="1" customHeight="1">
      <c r="A935" s="2"/>
      <c r="B935" s="2"/>
      <c r="C935" s="2"/>
      <c r="D935" s="3"/>
      <c r="E935" s="4"/>
      <c r="F935" s="5"/>
      <c r="G935" s="6"/>
      <c r="H935" s="7"/>
      <c r="I935" s="8"/>
      <c r="J935" s="9"/>
      <c r="K935" s="9"/>
      <c r="L935" s="26"/>
      <c r="M935" s="26"/>
      <c r="N935" s="26"/>
    </row>
    <row r="936" ht="12.75" hidden="1" customHeight="1">
      <c r="A936" s="2"/>
      <c r="B936" s="2"/>
      <c r="C936" s="2"/>
      <c r="D936" s="3"/>
      <c r="E936" s="4"/>
      <c r="F936" s="5"/>
      <c r="G936" s="6"/>
      <c r="H936" s="7"/>
      <c r="I936" s="8"/>
      <c r="J936" s="9"/>
      <c r="K936" s="9"/>
      <c r="L936" s="26"/>
      <c r="M936" s="26"/>
      <c r="N936" s="26"/>
    </row>
    <row r="937" ht="12.75" hidden="1" customHeight="1">
      <c r="A937" s="2"/>
      <c r="B937" s="2"/>
      <c r="C937" s="2"/>
      <c r="D937" s="3"/>
      <c r="E937" s="4"/>
      <c r="F937" s="5"/>
      <c r="G937" s="6"/>
      <c r="H937" s="7"/>
      <c r="I937" s="8"/>
      <c r="J937" s="9"/>
      <c r="K937" s="9"/>
      <c r="L937" s="26"/>
      <c r="M937" s="26"/>
      <c r="N937" s="26"/>
    </row>
    <row r="938" ht="12.75" hidden="1" customHeight="1">
      <c r="A938" s="2"/>
      <c r="B938" s="2"/>
      <c r="C938" s="2"/>
      <c r="D938" s="3"/>
      <c r="E938" s="4"/>
      <c r="F938" s="5"/>
      <c r="G938" s="6"/>
      <c r="H938" s="7"/>
      <c r="I938" s="8"/>
      <c r="J938" s="9"/>
      <c r="K938" s="9"/>
      <c r="L938" s="26"/>
      <c r="M938" s="26"/>
      <c r="N938" s="26"/>
    </row>
    <row r="939" ht="12.75" hidden="1" customHeight="1">
      <c r="A939" s="2"/>
      <c r="B939" s="2"/>
      <c r="C939" s="2"/>
      <c r="D939" s="3"/>
      <c r="E939" s="4"/>
      <c r="F939" s="5"/>
      <c r="G939" s="6"/>
      <c r="H939" s="7"/>
      <c r="I939" s="8"/>
      <c r="J939" s="9"/>
      <c r="K939" s="9"/>
      <c r="L939" s="26"/>
      <c r="M939" s="26"/>
      <c r="N939" s="26"/>
    </row>
    <row r="940" ht="12.75" hidden="1" customHeight="1">
      <c r="A940" s="2"/>
      <c r="B940" s="2"/>
      <c r="C940" s="2"/>
      <c r="D940" s="3"/>
      <c r="E940" s="4"/>
      <c r="F940" s="5"/>
      <c r="G940" s="6"/>
      <c r="H940" s="7"/>
      <c r="I940" s="8"/>
      <c r="J940" s="9"/>
      <c r="K940" s="9"/>
      <c r="L940" s="26"/>
      <c r="M940" s="26"/>
      <c r="N940" s="26"/>
    </row>
    <row r="941" ht="12.75" hidden="1" customHeight="1">
      <c r="A941" s="2"/>
      <c r="B941" s="2"/>
      <c r="C941" s="2"/>
      <c r="D941" s="3"/>
      <c r="E941" s="4"/>
      <c r="F941" s="5"/>
      <c r="G941" s="6"/>
      <c r="H941" s="7"/>
      <c r="I941" s="8"/>
      <c r="J941" s="9"/>
      <c r="K941" s="9"/>
      <c r="L941" s="26"/>
      <c r="M941" s="26"/>
      <c r="N941" s="26"/>
    </row>
    <row r="942" ht="12.75" hidden="1" customHeight="1">
      <c r="A942" s="2"/>
      <c r="B942" s="2"/>
      <c r="C942" s="2"/>
      <c r="D942" s="3"/>
      <c r="E942" s="4"/>
      <c r="F942" s="5"/>
      <c r="G942" s="6"/>
      <c r="H942" s="7"/>
      <c r="I942" s="8"/>
      <c r="J942" s="9"/>
      <c r="K942" s="9"/>
      <c r="L942" s="26"/>
      <c r="M942" s="26"/>
      <c r="N942" s="26"/>
    </row>
    <row r="943" ht="12.75" hidden="1" customHeight="1">
      <c r="A943" s="2"/>
      <c r="B943" s="2"/>
      <c r="C943" s="2"/>
      <c r="D943" s="3"/>
      <c r="E943" s="4"/>
      <c r="F943" s="5"/>
      <c r="G943" s="6"/>
      <c r="H943" s="7"/>
      <c r="I943" s="8"/>
      <c r="J943" s="9"/>
      <c r="K943" s="9"/>
      <c r="L943" s="26"/>
      <c r="M943" s="26"/>
      <c r="N943" s="26"/>
    </row>
    <row r="944" ht="12.75" hidden="1" customHeight="1">
      <c r="A944" s="2"/>
      <c r="B944" s="2"/>
      <c r="C944" s="2"/>
      <c r="D944" s="3"/>
      <c r="E944" s="4"/>
      <c r="F944" s="5"/>
      <c r="G944" s="6"/>
      <c r="H944" s="7"/>
      <c r="I944" s="8"/>
      <c r="J944" s="9"/>
      <c r="K944" s="9"/>
      <c r="L944" s="26"/>
      <c r="M944" s="26"/>
      <c r="N944" s="26"/>
    </row>
    <row r="945" ht="12.75" hidden="1" customHeight="1">
      <c r="A945" s="2"/>
      <c r="B945" s="2"/>
      <c r="C945" s="2"/>
      <c r="D945" s="3"/>
      <c r="E945" s="4"/>
      <c r="F945" s="5"/>
      <c r="G945" s="6"/>
      <c r="H945" s="7"/>
      <c r="I945" s="8"/>
      <c r="J945" s="9"/>
      <c r="K945" s="9"/>
      <c r="L945" s="26"/>
      <c r="M945" s="26"/>
      <c r="N945" s="26"/>
    </row>
    <row r="946" ht="12.75" hidden="1" customHeight="1">
      <c r="A946" s="2"/>
      <c r="B946" s="2"/>
      <c r="C946" s="2"/>
      <c r="D946" s="3"/>
      <c r="E946" s="4"/>
      <c r="F946" s="5"/>
      <c r="G946" s="6"/>
      <c r="H946" s="7"/>
      <c r="I946" s="8"/>
      <c r="J946" s="9"/>
      <c r="K946" s="9"/>
      <c r="L946" s="26"/>
      <c r="M946" s="26"/>
      <c r="N946" s="26"/>
    </row>
    <row r="947" ht="12.75" hidden="1" customHeight="1">
      <c r="A947" s="2"/>
      <c r="B947" s="2"/>
      <c r="C947" s="2"/>
      <c r="D947" s="3"/>
      <c r="E947" s="4"/>
      <c r="F947" s="5"/>
      <c r="G947" s="6"/>
      <c r="H947" s="7"/>
      <c r="I947" s="8"/>
      <c r="J947" s="9"/>
      <c r="K947" s="9"/>
      <c r="L947" s="26"/>
      <c r="M947" s="26"/>
      <c r="N947" s="26"/>
    </row>
    <row r="948" ht="12.75" hidden="1" customHeight="1">
      <c r="A948" s="2"/>
      <c r="B948" s="2"/>
      <c r="C948" s="2"/>
      <c r="D948" s="3"/>
      <c r="E948" s="4"/>
      <c r="F948" s="5"/>
      <c r="G948" s="6"/>
      <c r="H948" s="7"/>
      <c r="I948" s="8"/>
      <c r="J948" s="9"/>
      <c r="K948" s="9"/>
      <c r="L948" s="26"/>
      <c r="M948" s="26"/>
      <c r="N948" s="26"/>
    </row>
    <row r="949" ht="12.75" hidden="1" customHeight="1">
      <c r="A949" s="2"/>
      <c r="B949" s="2"/>
      <c r="C949" s="2"/>
      <c r="D949" s="3"/>
      <c r="E949" s="4"/>
      <c r="F949" s="5"/>
      <c r="G949" s="6"/>
      <c r="H949" s="7"/>
      <c r="I949" s="8"/>
      <c r="J949" s="9"/>
      <c r="K949" s="9"/>
      <c r="L949" s="26"/>
      <c r="M949" s="26"/>
      <c r="N949" s="26"/>
    </row>
    <row r="950" ht="12.75" hidden="1" customHeight="1">
      <c r="A950" s="2"/>
      <c r="B950" s="2"/>
      <c r="C950" s="2"/>
      <c r="D950" s="3"/>
      <c r="E950" s="4"/>
      <c r="F950" s="5"/>
      <c r="G950" s="6"/>
      <c r="H950" s="7"/>
      <c r="I950" s="8"/>
      <c r="J950" s="9"/>
      <c r="K950" s="9"/>
      <c r="L950" s="26"/>
      <c r="M950" s="26"/>
      <c r="N950" s="26"/>
    </row>
    <row r="951" ht="12.75" hidden="1" customHeight="1">
      <c r="A951" s="2"/>
      <c r="B951" s="2"/>
      <c r="C951" s="2"/>
      <c r="D951" s="3"/>
      <c r="E951" s="4"/>
      <c r="F951" s="5"/>
      <c r="G951" s="6"/>
      <c r="H951" s="7"/>
      <c r="I951" s="8"/>
      <c r="J951" s="9"/>
      <c r="K951" s="9"/>
      <c r="L951" s="26"/>
      <c r="M951" s="26"/>
      <c r="N951" s="26"/>
    </row>
    <row r="952" ht="12.75" hidden="1" customHeight="1">
      <c r="A952" s="2"/>
      <c r="B952" s="2"/>
      <c r="C952" s="2"/>
      <c r="D952" s="3"/>
      <c r="E952" s="4"/>
      <c r="F952" s="5"/>
      <c r="G952" s="6"/>
      <c r="H952" s="7"/>
      <c r="I952" s="8"/>
      <c r="J952" s="9"/>
      <c r="K952" s="9"/>
      <c r="L952" s="26"/>
      <c r="M952" s="26"/>
      <c r="N952" s="26"/>
    </row>
    <row r="953" ht="12.75" hidden="1" customHeight="1">
      <c r="A953" s="2"/>
      <c r="B953" s="2"/>
      <c r="C953" s="2"/>
      <c r="D953" s="3"/>
      <c r="E953" s="4"/>
      <c r="F953" s="5"/>
      <c r="G953" s="6"/>
      <c r="H953" s="7"/>
      <c r="I953" s="8"/>
      <c r="J953" s="9"/>
      <c r="K953" s="9"/>
      <c r="L953" s="26"/>
      <c r="M953" s="26"/>
      <c r="N953" s="26"/>
    </row>
    <row r="954" ht="12.75" hidden="1" customHeight="1">
      <c r="A954" s="2"/>
      <c r="B954" s="2"/>
      <c r="C954" s="2"/>
      <c r="D954" s="3"/>
      <c r="E954" s="4"/>
      <c r="F954" s="5"/>
      <c r="G954" s="6"/>
      <c r="H954" s="7"/>
      <c r="I954" s="8"/>
      <c r="J954" s="9"/>
      <c r="K954" s="9"/>
      <c r="L954" s="26"/>
      <c r="M954" s="26"/>
      <c r="N954" s="26"/>
    </row>
    <row r="955" ht="12.75" hidden="1" customHeight="1">
      <c r="A955" s="2"/>
      <c r="B955" s="2"/>
      <c r="C955" s="2"/>
      <c r="D955" s="3"/>
      <c r="E955" s="4"/>
      <c r="F955" s="5"/>
      <c r="G955" s="6"/>
      <c r="H955" s="7"/>
      <c r="I955" s="8"/>
      <c r="J955" s="9"/>
      <c r="K955" s="9"/>
      <c r="L955" s="26"/>
      <c r="M955" s="26"/>
      <c r="N955" s="26"/>
    </row>
    <row r="956" ht="12.75" hidden="1" customHeight="1">
      <c r="A956" s="2"/>
      <c r="B956" s="2"/>
      <c r="C956" s="2"/>
      <c r="D956" s="3"/>
      <c r="E956" s="4"/>
      <c r="F956" s="5"/>
      <c r="G956" s="6"/>
      <c r="H956" s="7"/>
      <c r="I956" s="8"/>
      <c r="J956" s="9"/>
      <c r="K956" s="9"/>
      <c r="L956" s="26"/>
      <c r="M956" s="26"/>
      <c r="N956" s="26"/>
    </row>
    <row r="957" ht="12.75" hidden="1" customHeight="1">
      <c r="A957" s="2"/>
      <c r="B957" s="2"/>
      <c r="C957" s="2"/>
      <c r="D957" s="3"/>
      <c r="E957" s="4"/>
      <c r="F957" s="5"/>
      <c r="G957" s="6"/>
      <c r="H957" s="7"/>
      <c r="I957" s="8"/>
      <c r="J957" s="9"/>
      <c r="K957" s="9"/>
      <c r="L957" s="26"/>
      <c r="M957" s="26"/>
      <c r="N957" s="26"/>
    </row>
    <row r="958" ht="12.75" hidden="1" customHeight="1">
      <c r="A958" s="2"/>
      <c r="B958" s="2"/>
      <c r="C958" s="2"/>
      <c r="D958" s="3"/>
      <c r="E958" s="4"/>
      <c r="F958" s="5"/>
      <c r="G958" s="6"/>
      <c r="H958" s="7"/>
      <c r="I958" s="8"/>
      <c r="J958" s="9"/>
      <c r="K958" s="9"/>
      <c r="L958" s="26"/>
      <c r="M958" s="26"/>
      <c r="N958" s="26"/>
    </row>
    <row r="959" ht="12.75" hidden="1" customHeight="1">
      <c r="A959" s="2"/>
      <c r="B959" s="2"/>
      <c r="C959" s="2"/>
      <c r="D959" s="3"/>
      <c r="E959" s="4"/>
      <c r="F959" s="5"/>
      <c r="G959" s="6"/>
      <c r="H959" s="7"/>
      <c r="I959" s="8"/>
      <c r="J959" s="9"/>
      <c r="K959" s="9"/>
      <c r="L959" s="26"/>
      <c r="M959" s="26"/>
      <c r="N959" s="26"/>
    </row>
    <row r="960" ht="12.75" hidden="1" customHeight="1">
      <c r="A960" s="2"/>
      <c r="B960" s="2"/>
      <c r="C960" s="2"/>
      <c r="D960" s="3"/>
      <c r="E960" s="4"/>
      <c r="F960" s="5"/>
      <c r="G960" s="6"/>
      <c r="H960" s="7"/>
      <c r="I960" s="8"/>
      <c r="J960" s="9"/>
      <c r="K960" s="9"/>
      <c r="L960" s="26"/>
      <c r="M960" s="26"/>
      <c r="N960" s="26"/>
    </row>
    <row r="961" ht="12.75" hidden="1" customHeight="1">
      <c r="A961" s="2"/>
      <c r="B961" s="2"/>
      <c r="C961" s="2"/>
      <c r="D961" s="3"/>
      <c r="E961" s="4"/>
      <c r="F961" s="5"/>
      <c r="G961" s="6"/>
      <c r="H961" s="7"/>
      <c r="I961" s="8"/>
      <c r="J961" s="9"/>
      <c r="K961" s="9"/>
      <c r="L961" s="26"/>
      <c r="M961" s="26"/>
      <c r="N961" s="26"/>
    </row>
    <row r="962" ht="12.75" hidden="1" customHeight="1">
      <c r="A962" s="2"/>
      <c r="B962" s="2"/>
      <c r="C962" s="2"/>
      <c r="D962" s="3"/>
      <c r="E962" s="4"/>
      <c r="F962" s="5"/>
      <c r="G962" s="6"/>
      <c r="H962" s="7"/>
      <c r="I962" s="8"/>
      <c r="J962" s="9"/>
      <c r="K962" s="9"/>
      <c r="L962" s="26"/>
      <c r="M962" s="26"/>
      <c r="N962" s="26"/>
    </row>
    <row r="963" ht="12.75" hidden="1" customHeight="1">
      <c r="A963" s="2"/>
      <c r="B963" s="2"/>
      <c r="C963" s="2"/>
      <c r="D963" s="3"/>
      <c r="E963" s="4"/>
      <c r="F963" s="5"/>
      <c r="G963" s="6"/>
      <c r="H963" s="7"/>
      <c r="I963" s="8"/>
      <c r="J963" s="9"/>
      <c r="K963" s="9"/>
      <c r="L963" s="26"/>
      <c r="M963" s="26"/>
      <c r="N963" s="26"/>
    </row>
    <row r="964" ht="12.75" hidden="1" customHeight="1">
      <c r="A964" s="2"/>
      <c r="B964" s="2"/>
      <c r="C964" s="2"/>
      <c r="D964" s="3"/>
      <c r="E964" s="4"/>
      <c r="F964" s="5"/>
      <c r="G964" s="6"/>
      <c r="H964" s="7"/>
      <c r="I964" s="8"/>
      <c r="J964" s="9"/>
      <c r="K964" s="9"/>
      <c r="L964" s="26"/>
      <c r="M964" s="26"/>
      <c r="N964" s="26"/>
    </row>
    <row r="965" ht="12.75" hidden="1" customHeight="1">
      <c r="A965" s="2"/>
      <c r="B965" s="2"/>
      <c r="C965" s="2"/>
      <c r="D965" s="3"/>
      <c r="E965" s="4"/>
      <c r="F965" s="5"/>
      <c r="G965" s="6"/>
      <c r="H965" s="7"/>
      <c r="I965" s="8"/>
      <c r="J965" s="9"/>
      <c r="K965" s="9"/>
      <c r="L965" s="26"/>
      <c r="M965" s="26"/>
      <c r="N965" s="26"/>
    </row>
    <row r="966" ht="12.75" hidden="1" customHeight="1">
      <c r="A966" s="2"/>
      <c r="B966" s="2"/>
      <c r="C966" s="2"/>
      <c r="D966" s="3"/>
      <c r="E966" s="4"/>
      <c r="F966" s="5"/>
      <c r="G966" s="6"/>
      <c r="H966" s="7"/>
      <c r="I966" s="8"/>
      <c r="J966" s="9"/>
      <c r="K966" s="9"/>
      <c r="L966" s="26"/>
      <c r="M966" s="26"/>
      <c r="N966" s="26"/>
    </row>
    <row r="967" ht="12.75" hidden="1" customHeight="1">
      <c r="A967" s="2"/>
      <c r="B967" s="2"/>
      <c r="C967" s="2"/>
      <c r="D967" s="3"/>
      <c r="E967" s="4"/>
      <c r="F967" s="5"/>
      <c r="G967" s="6"/>
      <c r="H967" s="7"/>
      <c r="I967" s="8"/>
      <c r="J967" s="9"/>
      <c r="K967" s="9"/>
      <c r="L967" s="26"/>
      <c r="M967" s="26"/>
      <c r="N967" s="26"/>
    </row>
    <row r="968" ht="12.75" hidden="1" customHeight="1">
      <c r="A968" s="2"/>
      <c r="B968" s="2"/>
      <c r="C968" s="2"/>
      <c r="D968" s="3"/>
      <c r="E968" s="4"/>
      <c r="F968" s="5"/>
      <c r="G968" s="6"/>
      <c r="H968" s="7"/>
      <c r="I968" s="8"/>
      <c r="J968" s="9"/>
      <c r="K968" s="9"/>
      <c r="L968" s="26"/>
      <c r="M968" s="26"/>
      <c r="N968" s="26"/>
    </row>
    <row r="969" ht="12.75" hidden="1" customHeight="1">
      <c r="A969" s="2"/>
      <c r="B969" s="2"/>
      <c r="C969" s="2"/>
      <c r="D969" s="3"/>
      <c r="E969" s="4"/>
      <c r="F969" s="5"/>
      <c r="G969" s="6"/>
      <c r="H969" s="7"/>
      <c r="I969" s="8"/>
      <c r="J969" s="9"/>
      <c r="K969" s="9"/>
      <c r="L969" s="26"/>
      <c r="M969" s="26"/>
      <c r="N969" s="26"/>
    </row>
    <row r="970" ht="12.75" hidden="1" customHeight="1">
      <c r="A970" s="2"/>
      <c r="B970" s="2"/>
      <c r="C970" s="2"/>
      <c r="D970" s="3"/>
      <c r="E970" s="4"/>
      <c r="F970" s="5"/>
      <c r="G970" s="6"/>
      <c r="H970" s="7"/>
      <c r="I970" s="8"/>
      <c r="J970" s="9"/>
      <c r="K970" s="9"/>
      <c r="L970" s="26"/>
      <c r="M970" s="26"/>
      <c r="N970" s="26"/>
    </row>
    <row r="971" ht="12.75" hidden="1" customHeight="1">
      <c r="A971" s="2"/>
      <c r="B971" s="2"/>
      <c r="C971" s="2"/>
      <c r="D971" s="3"/>
      <c r="E971" s="4"/>
      <c r="F971" s="5"/>
      <c r="G971" s="6"/>
      <c r="H971" s="7"/>
      <c r="I971" s="8"/>
      <c r="J971" s="9"/>
      <c r="K971" s="9"/>
      <c r="L971" s="26"/>
      <c r="M971" s="26"/>
      <c r="N971" s="26"/>
    </row>
    <row r="972" ht="12.75" hidden="1" customHeight="1">
      <c r="A972" s="2"/>
      <c r="B972" s="2"/>
      <c r="C972" s="2"/>
      <c r="D972" s="3"/>
      <c r="E972" s="4"/>
      <c r="F972" s="5"/>
      <c r="G972" s="6"/>
      <c r="H972" s="7"/>
      <c r="I972" s="8"/>
      <c r="J972" s="9"/>
      <c r="K972" s="9"/>
      <c r="L972" s="26"/>
      <c r="M972" s="26"/>
      <c r="N972" s="26"/>
    </row>
    <row r="973" ht="12.75" hidden="1" customHeight="1">
      <c r="A973" s="2"/>
      <c r="B973" s="2"/>
      <c r="C973" s="2"/>
      <c r="D973" s="3"/>
      <c r="E973" s="4"/>
      <c r="F973" s="5"/>
      <c r="G973" s="6"/>
      <c r="H973" s="7"/>
      <c r="I973" s="8"/>
      <c r="J973" s="9"/>
      <c r="K973" s="9"/>
      <c r="L973" s="26"/>
      <c r="M973" s="26"/>
      <c r="N973" s="26"/>
    </row>
    <row r="974" ht="12.75" hidden="1" customHeight="1">
      <c r="A974" s="2"/>
      <c r="B974" s="2"/>
      <c r="C974" s="2"/>
      <c r="D974" s="3"/>
      <c r="E974" s="4"/>
      <c r="F974" s="5"/>
      <c r="G974" s="6"/>
      <c r="H974" s="7"/>
      <c r="I974" s="8"/>
      <c r="J974" s="9"/>
      <c r="K974" s="9"/>
      <c r="L974" s="26"/>
      <c r="M974" s="26"/>
      <c r="N974" s="26"/>
    </row>
    <row r="975" ht="12.75" hidden="1" customHeight="1">
      <c r="A975" s="2"/>
      <c r="B975" s="2"/>
      <c r="C975" s="2"/>
      <c r="D975" s="3"/>
      <c r="E975" s="4"/>
      <c r="F975" s="5"/>
      <c r="G975" s="6"/>
      <c r="H975" s="7"/>
      <c r="I975" s="8"/>
      <c r="J975" s="9"/>
      <c r="K975" s="9"/>
      <c r="L975" s="26"/>
      <c r="M975" s="26"/>
      <c r="N975" s="26"/>
    </row>
    <row r="976" ht="12.75" hidden="1" customHeight="1">
      <c r="A976" s="2"/>
      <c r="B976" s="2"/>
      <c r="C976" s="2"/>
      <c r="D976" s="3"/>
      <c r="E976" s="4"/>
      <c r="F976" s="5"/>
      <c r="G976" s="6"/>
      <c r="H976" s="7"/>
      <c r="I976" s="8"/>
      <c r="J976" s="9"/>
      <c r="K976" s="9"/>
      <c r="L976" s="26"/>
      <c r="M976" s="26"/>
      <c r="N976" s="26"/>
    </row>
    <row r="977" ht="12.75" hidden="1" customHeight="1">
      <c r="A977" s="2"/>
      <c r="B977" s="2"/>
      <c r="C977" s="2"/>
      <c r="D977" s="3"/>
      <c r="E977" s="4"/>
      <c r="F977" s="5"/>
      <c r="G977" s="6"/>
      <c r="H977" s="7"/>
      <c r="I977" s="8"/>
      <c r="J977" s="9"/>
      <c r="K977" s="9"/>
      <c r="L977" s="26"/>
      <c r="M977" s="26"/>
      <c r="N977" s="26"/>
    </row>
    <row r="978" ht="12.75" hidden="1" customHeight="1">
      <c r="A978" s="2"/>
      <c r="B978" s="2"/>
      <c r="C978" s="2"/>
      <c r="D978" s="3"/>
      <c r="E978" s="4"/>
      <c r="F978" s="5"/>
      <c r="G978" s="6"/>
      <c r="H978" s="7"/>
      <c r="I978" s="8"/>
      <c r="J978" s="9"/>
      <c r="K978" s="9"/>
      <c r="L978" s="26"/>
      <c r="M978" s="26"/>
      <c r="N978" s="26"/>
    </row>
    <row r="979" ht="12.75" hidden="1" customHeight="1">
      <c r="A979" s="2"/>
      <c r="B979" s="2"/>
      <c r="C979" s="2"/>
      <c r="D979" s="3"/>
      <c r="E979" s="4"/>
      <c r="F979" s="5"/>
      <c r="G979" s="6"/>
      <c r="H979" s="7"/>
      <c r="I979" s="8"/>
      <c r="J979" s="9"/>
      <c r="K979" s="9"/>
      <c r="L979" s="26"/>
      <c r="M979" s="26"/>
      <c r="N979" s="26"/>
    </row>
    <row r="980" ht="12.75" hidden="1" customHeight="1">
      <c r="A980" s="2"/>
      <c r="B980" s="2"/>
      <c r="C980" s="2"/>
      <c r="D980" s="3"/>
      <c r="E980" s="4"/>
      <c r="F980" s="5"/>
      <c r="G980" s="6"/>
      <c r="H980" s="7"/>
      <c r="I980" s="8"/>
      <c r="J980" s="9"/>
      <c r="K980" s="9"/>
      <c r="L980" s="26"/>
      <c r="M980" s="26"/>
      <c r="N980" s="26"/>
    </row>
    <row r="981" ht="12.75" hidden="1" customHeight="1">
      <c r="A981" s="2"/>
      <c r="B981" s="2"/>
      <c r="C981" s="2"/>
      <c r="D981" s="3"/>
      <c r="E981" s="4"/>
      <c r="F981" s="5"/>
      <c r="G981" s="6"/>
      <c r="H981" s="7"/>
      <c r="I981" s="8"/>
      <c r="J981" s="9"/>
      <c r="K981" s="9"/>
      <c r="L981" s="26"/>
      <c r="M981" s="26"/>
      <c r="N981" s="26"/>
    </row>
    <row r="982" ht="12.75" hidden="1" customHeight="1">
      <c r="A982" s="2"/>
      <c r="B982" s="2"/>
      <c r="C982" s="2"/>
      <c r="D982" s="3"/>
      <c r="E982" s="4"/>
      <c r="F982" s="5"/>
      <c r="G982" s="6"/>
      <c r="H982" s="7"/>
      <c r="I982" s="8"/>
      <c r="J982" s="9"/>
      <c r="K982" s="9"/>
      <c r="L982" s="26"/>
      <c r="M982" s="26"/>
      <c r="N982" s="26"/>
    </row>
    <row r="983" ht="12.75" hidden="1" customHeight="1">
      <c r="A983" s="2"/>
      <c r="B983" s="2"/>
      <c r="C983" s="2"/>
      <c r="D983" s="3"/>
      <c r="E983" s="4"/>
      <c r="F983" s="5"/>
      <c r="G983" s="6"/>
      <c r="H983" s="7"/>
      <c r="I983" s="8"/>
      <c r="J983" s="9"/>
      <c r="K983" s="9"/>
      <c r="L983" s="26"/>
      <c r="M983" s="26"/>
      <c r="N983" s="26"/>
    </row>
    <row r="984" ht="12.75" hidden="1" customHeight="1">
      <c r="A984" s="2"/>
      <c r="B984" s="2"/>
      <c r="C984" s="2"/>
      <c r="D984" s="3"/>
      <c r="E984" s="4"/>
      <c r="F984" s="5"/>
      <c r="G984" s="6"/>
      <c r="H984" s="7"/>
      <c r="I984" s="8"/>
      <c r="J984" s="9"/>
      <c r="K984" s="9"/>
      <c r="L984" s="26"/>
      <c r="M984" s="26"/>
      <c r="N984" s="26"/>
    </row>
    <row r="985" ht="12.75" hidden="1" customHeight="1">
      <c r="A985" s="2"/>
      <c r="B985" s="2"/>
      <c r="C985" s="2"/>
      <c r="D985" s="3"/>
      <c r="E985" s="4"/>
      <c r="F985" s="5"/>
      <c r="G985" s="6"/>
      <c r="H985" s="7"/>
      <c r="I985" s="8"/>
      <c r="J985" s="9"/>
      <c r="K985" s="9"/>
      <c r="L985" s="26"/>
      <c r="M985" s="26"/>
      <c r="N985" s="26"/>
    </row>
    <row r="986" ht="12.75" hidden="1" customHeight="1">
      <c r="A986" s="2"/>
      <c r="B986" s="2"/>
      <c r="C986" s="2"/>
      <c r="D986" s="3"/>
      <c r="E986" s="4"/>
      <c r="F986" s="5"/>
      <c r="G986" s="6"/>
      <c r="H986" s="7"/>
      <c r="I986" s="8"/>
      <c r="J986" s="9"/>
      <c r="K986" s="9"/>
      <c r="L986" s="26"/>
      <c r="M986" s="26"/>
      <c r="N986" s="26"/>
    </row>
    <row r="987" ht="12.75" hidden="1" customHeight="1">
      <c r="A987" s="2"/>
      <c r="B987" s="2"/>
      <c r="C987" s="2"/>
      <c r="D987" s="3"/>
      <c r="E987" s="4"/>
      <c r="F987" s="5"/>
      <c r="G987" s="6"/>
      <c r="H987" s="7"/>
      <c r="I987" s="8"/>
      <c r="J987" s="9"/>
      <c r="K987" s="9"/>
      <c r="L987" s="26"/>
      <c r="M987" s="26"/>
      <c r="N987" s="26"/>
    </row>
    <row r="988" ht="12.75" hidden="1" customHeight="1">
      <c r="A988" s="2"/>
      <c r="B988" s="2"/>
      <c r="C988" s="2"/>
      <c r="D988" s="3"/>
      <c r="E988" s="4"/>
      <c r="F988" s="5"/>
      <c r="G988" s="6"/>
      <c r="H988" s="7"/>
      <c r="I988" s="8"/>
      <c r="J988" s="9"/>
      <c r="K988" s="9"/>
      <c r="L988" s="26"/>
      <c r="M988" s="26"/>
      <c r="N988" s="26"/>
    </row>
    <row r="989" ht="12.75" hidden="1" customHeight="1">
      <c r="A989" s="2"/>
      <c r="B989" s="2"/>
      <c r="C989" s="2"/>
      <c r="D989" s="3"/>
      <c r="E989" s="4"/>
      <c r="F989" s="5"/>
      <c r="G989" s="6"/>
      <c r="H989" s="7"/>
      <c r="I989" s="8"/>
      <c r="J989" s="9"/>
      <c r="K989" s="9"/>
      <c r="L989" s="26"/>
      <c r="M989" s="26"/>
      <c r="N989" s="26"/>
    </row>
    <row r="990" ht="12.75" hidden="1" customHeight="1">
      <c r="A990" s="2"/>
      <c r="B990" s="2"/>
      <c r="C990" s="2"/>
      <c r="D990" s="3"/>
      <c r="E990" s="4"/>
      <c r="F990" s="5"/>
      <c r="G990" s="6"/>
      <c r="H990" s="7"/>
      <c r="I990" s="8"/>
      <c r="J990" s="9"/>
      <c r="K990" s="9"/>
      <c r="L990" s="26"/>
      <c r="M990" s="26"/>
      <c r="N990" s="26"/>
    </row>
    <row r="991" ht="12.75" hidden="1" customHeight="1">
      <c r="A991" s="2"/>
      <c r="B991" s="2"/>
      <c r="C991" s="2"/>
      <c r="D991" s="3"/>
      <c r="E991" s="4"/>
      <c r="F991" s="5"/>
      <c r="G991" s="6"/>
      <c r="H991" s="7"/>
      <c r="I991" s="8"/>
      <c r="J991" s="9"/>
      <c r="K991" s="9"/>
      <c r="L991" s="26"/>
      <c r="M991" s="26"/>
      <c r="N991" s="26"/>
    </row>
    <row r="992" ht="12.75" hidden="1" customHeight="1">
      <c r="A992" s="2"/>
      <c r="B992" s="2"/>
      <c r="C992" s="2"/>
      <c r="D992" s="3"/>
      <c r="E992" s="4"/>
      <c r="F992" s="5"/>
      <c r="G992" s="6"/>
      <c r="H992" s="7"/>
      <c r="I992" s="8"/>
      <c r="J992" s="9"/>
      <c r="K992" s="9"/>
      <c r="L992" s="26"/>
      <c r="M992" s="26"/>
      <c r="N992" s="26"/>
    </row>
    <row r="993" ht="12.75" hidden="1" customHeight="1">
      <c r="A993" s="2"/>
      <c r="B993" s="2"/>
      <c r="C993" s="2"/>
      <c r="D993" s="3"/>
      <c r="E993" s="4"/>
      <c r="F993" s="5"/>
      <c r="G993" s="6"/>
      <c r="H993" s="7"/>
      <c r="I993" s="8"/>
      <c r="J993" s="9"/>
      <c r="K993" s="9"/>
      <c r="L993" s="26"/>
      <c r="M993" s="26"/>
      <c r="N993" s="26"/>
    </row>
    <row r="994" ht="12.75" hidden="1" customHeight="1">
      <c r="A994" s="2"/>
      <c r="B994" s="2"/>
      <c r="C994" s="2"/>
      <c r="D994" s="3"/>
      <c r="E994" s="4"/>
      <c r="F994" s="5"/>
      <c r="G994" s="6"/>
      <c r="H994" s="7"/>
      <c r="I994" s="8"/>
      <c r="J994" s="9"/>
      <c r="K994" s="9"/>
      <c r="L994" s="26"/>
      <c r="M994" s="26"/>
      <c r="N994" s="26"/>
    </row>
    <row r="995" ht="12.75" hidden="1" customHeight="1">
      <c r="A995" s="2"/>
      <c r="B995" s="2"/>
      <c r="C995" s="2"/>
      <c r="D995" s="3"/>
      <c r="E995" s="4"/>
      <c r="F995" s="5"/>
      <c r="G995" s="6"/>
      <c r="H995" s="7"/>
      <c r="I995" s="8"/>
      <c r="J995" s="9"/>
      <c r="K995" s="9"/>
      <c r="L995" s="26"/>
      <c r="M995" s="26"/>
      <c r="N995" s="26"/>
    </row>
    <row r="996" ht="12.75" hidden="1" customHeight="1">
      <c r="A996" s="2"/>
      <c r="B996" s="2"/>
      <c r="C996" s="2"/>
      <c r="D996" s="3"/>
      <c r="E996" s="4"/>
      <c r="F996" s="5"/>
      <c r="G996" s="6"/>
      <c r="H996" s="7"/>
      <c r="I996" s="8"/>
      <c r="J996" s="9"/>
      <c r="K996" s="9"/>
      <c r="L996" s="26"/>
      <c r="M996" s="26"/>
      <c r="N996" s="26"/>
    </row>
    <row r="997" ht="12.75" hidden="1" customHeight="1">
      <c r="A997" s="2"/>
      <c r="B997" s="2"/>
      <c r="C997" s="2"/>
      <c r="D997" s="3"/>
      <c r="E997" s="4"/>
      <c r="F997" s="5"/>
      <c r="G997" s="6"/>
      <c r="H997" s="7"/>
      <c r="I997" s="8"/>
      <c r="J997" s="9"/>
      <c r="K997" s="9"/>
      <c r="L997" s="26"/>
      <c r="M997" s="26"/>
      <c r="N997" s="26"/>
    </row>
  </sheetData>
  <autoFilter ref="$A$1:$N$997">
    <filterColumn colId="4">
      <filters>
        <filter val="88"/>
        <filter val="590"/>
        <filter val="194"/>
        <filter val="591"/>
        <filter val="1060"/>
        <filter val="3480"/>
        <filter val="231"/>
        <filter val="199"/>
        <filter val="595"/>
        <filter val="112"/>
        <filter val="233"/>
        <filter val="113"/>
        <filter val="114"/>
        <filter val="1059"/>
        <filter val="1057"/>
        <filter val="90"/>
        <filter val="91"/>
        <filter val="914"/>
        <filter val="96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57594"/>
        <filter val="3131"/>
        <filter val="240"/>
        <filter val="1192"/>
        <filter val="120"/>
        <filter val="1"/>
        <filter val="122"/>
        <filter val="2"/>
        <filter val="3"/>
        <filter val="124"/>
        <filter val="4"/>
        <filter val="5"/>
        <filter val="126"/>
        <filter val="6"/>
        <filter val="7"/>
        <filter val="1067"/>
        <filter val="8"/>
        <filter val="9"/>
        <filter val="805"/>
        <filter val="20"/>
        <filter val="21"/>
        <filter val="22"/>
        <filter val="23"/>
        <filter val="24"/>
        <filter val="26"/>
        <filter val="27"/>
        <filter val="28"/>
        <filter val="131"/>
        <filter val="530"/>
        <filter val="2323"/>
        <filter val="413"/>
        <filter val="138"/>
        <filter val="259"/>
        <filter val="416"/>
        <filter val="30"/>
        <filter val="31"/>
        <filter val="32"/>
        <filter val="34"/>
        <filter val="35"/>
        <filter val="36"/>
        <filter val="37"/>
        <filter val="38"/>
        <filter val="39"/>
        <filter val="1131"/>
        <filter val="380"/>
        <filter val="141"/>
        <filter val="263"/>
        <filter val="265"/>
        <filter val="144"/>
        <filter val="420"/>
        <filter val="145"/>
        <filter val="388"/>
        <filter val="269"/>
        <filter val="40"/>
        <filter val="41"/>
        <filter val="1406"/>
        <filter val="42"/>
        <filter val="44"/>
        <filter val="709"/>
        <filter val="45"/>
        <filter val="47"/>
        <filter val="1780"/>
        <filter val="2195"/>
        <filter val="151"/>
        <filter val="152"/>
        <filter val="395"/>
        <filter val="678"/>
        <filter val="715"/>
        <filter val="51"/>
        <filter val="53"/>
        <filter val="54"/>
        <filter val="55"/>
        <filter val="56"/>
        <filter val="57"/>
        <filter val="58"/>
        <filter val="59"/>
        <filter val="七銘庫存/瓶"/>
        <filter val="283"/>
        <filter val="164"/>
        <filter val="681"/>
        <filter val="3600"/>
        <filter val="686"/>
        <filter val="325"/>
        <filter val="326"/>
        <filter val="448"/>
        <filter val="329"/>
        <filter val="60"/>
        <filter val="604"/>
        <filter val="62"/>
        <filter val="63"/>
        <filter val="849"/>
        <filter val="64"/>
        <filter val="2879"/>
        <filter val="66"/>
        <filter val="4030"/>
        <filter val="3341"/>
        <filter val="296"/>
        <filter val="售林盛文1100"/>
        <filter val="176"/>
        <filter val="297"/>
        <filter val="1557"/>
        <filter val="331"/>
        <filter val="211"/>
        <filter val="851"/>
        <filter val="七銘庫存量/瓶"/>
        <filter val="456"/>
        <filter val="2400"/>
        <filter val="457"/>
        <filter val="579"/>
        <filter val="216"/>
        <filter val="217"/>
        <filter val="734"/>
        <filter val="70"/>
        <filter val="71"/>
        <filter val="72"/>
        <filter val="76"/>
        <filter val="79"/>
        <filter val="5098"/>
        <filter val="1050"/>
        <filter val="62768"/>
        <filter val="220"/>
        <filter val="100"/>
        <filter val="189"/>
        <filter val="585"/>
        <filter val="2137"/>
        <filter val="103"/>
        <filter val="104"/>
        <filter val="346"/>
        <filter val="2652"/>
        <filter val="1200"/>
        <filter val="105"/>
        <filter val="226"/>
        <filter val="106"/>
        <filter val="107"/>
        <filter val="80"/>
        <filter val="108"/>
        <filter val="625"/>
        <filter val="109"/>
        <filter val="82"/>
        <filter val="83"/>
        <filter val="1727"/>
        <filter val="87"/>
      </filters>
    </filterColumn>
    <filterColumn colId="6">
      <filters>
        <filter val="5,500"/>
        <filter val="300&#10;290"/>
        <filter val="2,650"/>
        <filter val="1,170"/>
        <filter val="4,940"/>
        <filter val="590"/>
        <filter val="470"/>
        <filter val="5,180"/>
        <filter val="350"/>
        <filter val="230"/>
        <filter val="595"/>
        <filter val="290             280"/>
        <filter val="355"/>
        <filter val="6,550"/>
        <filter val="1,050"/>
        <filter val="3,100"/>
        <filter val="1,730"/>
        <filter val="1,060"/>
        <filter val="19"/>
        <filter val="1,180"/>
        <filter val="4,255"/>
        <filter val="2,300"/>
        <filter val="480"/>
        <filter val="5,290"/>
        <filter val="360"/>
        <filter val="4,810"/>
        <filter val="240"/>
        <filter val="6,200"/>
        <filter val="365"/>
        <filter val="245"/>
        <filter val="488"/>
        <filter val="15,000"/>
        <filter val="390         370"/>
        <filter val="1,500"/>
        <filter val="20"/>
        <filter val="1,740"/>
        <filter val="5,600"/>
        <filter val="23"/>
        <filter val="25"/>
        <filter val="390&#10;370"/>
        <filter val="290&#10;280"/>
        <filter val="370"/>
        <filter val="2,750"/>
        <filter val="250"/>
        <filter val="135"/>
        <filter val="1,150"/>
        <filter val="930"/>
        <filter val="3,200"/>
        <filter val="935"/>
        <filter val="1,950"/>
        <filter val="2,760"/>
        <filter val="1,280"/>
        <filter val="380"/>
        <filter val="140"/>
        <filter val="290&#10;270"/>
        <filter val="2,400"/>
        <filter val="385"/>
        <filter val="4,900"/>
        <filter val="3,550"/>
        <filter val="940"/>
        <filter val="6,100"/>
        <filter val="700"/>
        <filter val="1,160"/>
        <filter val="2,080"/>
        <filter val="1,600"/>
        <filter val="5,700"/>
        <filter val="45"/>
        <filter val="9,200"/>
        <filter val="4,100"/>
        <filter val="5,020"/>
        <filter val="2,850"/>
        <filter val="395"/>
        <filter val="北有買酒"/>
        <filter val="950"/>
        <filter val="710"/>
        <filter val="3,300"/>
        <filter val="715"/>
        <filter val="50"/>
        <filter val="1,930"/>
        <filter val="230&#10;220"/>
        <filter val="2,980"/>
        <filter val="8,500"/>
        <filter val="5,250"/>
        <filter val="280"/>
        <filter val="2,500"/>
        <filter val="2,620"/>
        <filter val="6,910"/>
        <filter val="285"/>
        <filter val="165"/>
        <filter val="960"/>
        <filter val="1,020"/>
        <filter val="720"/>
        <filter val="600"/>
        <filter val="6,000"/>
        <filter val="3,650"/>
        <filter val="1,820"/>
        <filter val="5,800"/>
        <filter val="11,000"/>
        <filter val="2,275"/>
        <filter val="2,150"/>
        <filter val="4,320"/>
        <filter val="2,710"/>
        <filter val="290"/>
        <filter val="4,200"/>
        <filter val="293"/>
        <filter val="2,950"/>
        <filter val="175"/>
        <filter val="6,800"/>
        <filter val="1,110"/>
        <filter val="1,350"/>
        <filter val="1,470"/>
        <filter val="12,960"/>
        <filter val="2,160"/>
        <filter val="2,280"/>
        <filter val="5,110"/>
        <filter val="2,600"/>
        <filter val="180"/>
        <filter val="8,400"/>
        <filter val="255          230"/>
        <filter val="980"/>
        <filter val="860"/>
        <filter val="1,000"/>
        <filter val="1,120"/>
        <filter val="620"/>
        <filter val="6,020"/>
        <filter val="1,480"/>
        <filter val="245&#10;220"/>
        <filter val="5,900"/>
        <filter val="2,250"/>
        <filter val="2,370"/>
        <filter val="190"/>
        <filter val="9,000"/>
        <filter val="4,300"/>
        <filter val="4,420"/>
        <filter val="195"/>
        <filter val="990"/>
        <filter val="3,060"/>
        <filter val="630"/>
        <filter val="510"/>
        <filter val="1,690"/>
        <filter val="755"/>
        <filter val="3,500"/>
        <filter val="2,700"/>
        <filter val="880"/>
        <filter val="1,100"/>
        <filter val="760"/>
        <filter val="640"/>
        <filter val="1,580"/>
        <filter val="645"/>
        <filter val="525"/>
        <filter val="1,900"/>
        <filter val="405"/>
        <filter val="10,700"/>
        <filter val="408"/>
        <filter val="5,200"/>
        <filter val="17,700"/>
        <filter val="410         390"/>
        <filter val="350     330"/>
        <filter val="6,600"/>
        <filter val="255&#10;230"/>
        <filter val="890"/>
        <filter val="3,160"/>
        <filter val="650"/>
        <filter val="1,430"/>
        <filter val="530"/>
        <filter val="410"/>
        <filter val="895"/>
        <filter val="3,600"/>
        <filter val="2,000"/>
        <filter val="2,800"/>
        <filter val="4,750"/>
        <filter val="780"/>
        <filter val="3,150"/>
        <filter val="540"/>
        <filter val="420"/>
        <filter val="300"/>
        <filter val="1,560"/>
        <filter val="423"/>
        <filter val="545"/>
        <filter val="10,800"/>
        <filter val="2,450"/>
        <filter val="9,280"/>
        <filter val="220&#10;210"/>
        <filter val="14,470"/>
        <filter val="4,500"/>
        <filter val="670"/>
        <filter val="550"/>
        <filter val="430"/>
        <filter val="1,650"/>
        <filter val="1,770"/>
        <filter val="312"/>
        <filter val="435"/>
        <filter val="315"/>
        <filter val="3,700"/>
        <filter val="310&#10;300"/>
        <filter val="2,100"/>
        <filter val="2,900"/>
        <filter val="680"/>
        <filter val="560"/>
        <filter val="2,587"/>
        <filter val="440"/>
        <filter val="1,420"/>
        <filter val="320"/>
        <filter val="200"/>
        <filter val="6,400"/>
        <filter val="445"/>
        <filter val="325"/>
        <filter val="3,250"/>
        <filter val="10,500"/>
        <filter val="1,300"/>
        <filter val="11,880"/>
        <filter val="7,450"/>
        <filter val="5,400"/>
        <filter val="4,280"/>
        <filter val="1,070"/>
        <filter val="2,795"/>
        <filter val="690"/>
        <filter val="450"/>
        <filter val="1,750"/>
        <filter val="330"/>
        <filter val="210"/>
        <filter val="3,000"/>
        <filter val="455"/>
        <filter val="335"/>
        <filter val="215"/>
        <filter val="1,072"/>
        <filter val="專賣進價"/>
        <filter val="3,800"/>
        <filter val="1,510"/>
        <filter val="4,390"/>
        <filter val="7,580"/>
        <filter val="7,100"/>
        <filter val="1,080"/>
        <filter val="8,800"/>
        <filter val="580"/>
        <filter val="2,200"/>
        <filter val="460"/>
        <filter val="340"/>
        <filter val="220"/>
        <filter val="585"/>
        <filter val="3,110"/>
        <filter val="345"/>
        <filter val="225"/>
        <filter val="3,350"/>
        <filter val="1,400"/>
        <filter val="10,600"/>
      </filters>
    </filterColumn>
  </autoFilter>
  <mergeCells count="120">
    <mergeCell ref="A469:B469"/>
    <mergeCell ref="A505:B505"/>
    <mergeCell ref="E506:F506"/>
    <mergeCell ref="E470:F470"/>
    <mergeCell ref="E520:F520"/>
    <mergeCell ref="A531:B531"/>
    <mergeCell ref="E532:F532"/>
    <mergeCell ref="A537:B537"/>
    <mergeCell ref="A544:B544"/>
    <mergeCell ref="E545:F545"/>
    <mergeCell ref="A550:B550"/>
    <mergeCell ref="E551:F551"/>
    <mergeCell ref="A569:B569"/>
    <mergeCell ref="A599:B599"/>
    <mergeCell ref="E602:F602"/>
    <mergeCell ref="E570:F570"/>
    <mergeCell ref="A598:B598"/>
    <mergeCell ref="E538:F538"/>
    <mergeCell ref="A441:B441"/>
    <mergeCell ref="E442:F442"/>
    <mergeCell ref="A446:B446"/>
    <mergeCell ref="E447:F447"/>
    <mergeCell ref="A452:B452"/>
    <mergeCell ref="E453:F453"/>
    <mergeCell ref="A460:B460"/>
    <mergeCell ref="E461:F461"/>
    <mergeCell ref="A510:B510"/>
    <mergeCell ref="E511:F511"/>
    <mergeCell ref="A519:B519"/>
    <mergeCell ref="E382:F382"/>
    <mergeCell ref="K489:K494"/>
    <mergeCell ref="E2:F2"/>
    <mergeCell ref="A3:B3"/>
    <mergeCell ref="A65:B65"/>
    <mergeCell ref="A76:B76"/>
    <mergeCell ref="A82:B82"/>
    <mergeCell ref="E83:F83"/>
    <mergeCell ref="A87:B87"/>
    <mergeCell ref="E88:F88"/>
    <mergeCell ref="A118:B118"/>
    <mergeCell ref="E119:F119"/>
    <mergeCell ref="A123:B123"/>
    <mergeCell ref="A129:B129"/>
    <mergeCell ref="E130:F130"/>
    <mergeCell ref="A149:B149"/>
    <mergeCell ref="E150:F150"/>
    <mergeCell ref="A164:B164"/>
    <mergeCell ref="A187:C187"/>
    <mergeCell ref="E188:F188"/>
    <mergeCell ref="E165:F165"/>
    <mergeCell ref="A183:B183"/>
    <mergeCell ref="E184:F184"/>
    <mergeCell ref="A211:C211"/>
    <mergeCell ref="E212:F212"/>
    <mergeCell ref="A220:B220"/>
    <mergeCell ref="A264:B264"/>
    <mergeCell ref="E265:F265"/>
    <mergeCell ref="E221:F221"/>
    <mergeCell ref="A347:A348"/>
    <mergeCell ref="B347:B348"/>
    <mergeCell ref="C347:C348"/>
    <mergeCell ref="D347:D348"/>
    <mergeCell ref="E347:E348"/>
    <mergeCell ref="F347:F348"/>
    <mergeCell ref="I347:I348"/>
    <mergeCell ref="J347:J348"/>
    <mergeCell ref="G347:G348"/>
    <mergeCell ref="G350:G351"/>
    <mergeCell ref="G358:G359"/>
    <mergeCell ref="H358:H359"/>
    <mergeCell ref="I358:I359"/>
    <mergeCell ref="J358:J359"/>
    <mergeCell ref="H350:H351"/>
    <mergeCell ref="I350:I351"/>
    <mergeCell ref="J350:J351"/>
    <mergeCell ref="H347:H348"/>
    <mergeCell ref="A350:A351"/>
    <mergeCell ref="B350:B351"/>
    <mergeCell ref="C350:C351"/>
    <mergeCell ref="D350:D351"/>
    <mergeCell ref="E350:E351"/>
    <mergeCell ref="A275:B275"/>
    <mergeCell ref="E276:F276"/>
    <mergeCell ref="A286:B286"/>
    <mergeCell ref="E287:F287"/>
    <mergeCell ref="A295:B295"/>
    <mergeCell ref="E296:F296"/>
    <mergeCell ref="E300:F300"/>
    <mergeCell ref="E311:F311"/>
    <mergeCell ref="E327:F327"/>
    <mergeCell ref="A326:B326"/>
    <mergeCell ref="A344:B344"/>
    <mergeCell ref="E345:F345"/>
    <mergeCell ref="A299:B299"/>
    <mergeCell ref="F350:F351"/>
    <mergeCell ref="A358:A359"/>
    <mergeCell ref="C358:C359"/>
    <mergeCell ref="D358:D359"/>
    <mergeCell ref="E358:E359"/>
    <mergeCell ref="F358:F359"/>
    <mergeCell ref="G361:G362"/>
    <mergeCell ref="H361:H362"/>
    <mergeCell ref="I361:I362"/>
    <mergeCell ref="J361:J362"/>
    <mergeCell ref="A361:A362"/>
    <mergeCell ref="B361:B362"/>
    <mergeCell ref="C361:C362"/>
    <mergeCell ref="D361:D362"/>
    <mergeCell ref="E361:E362"/>
    <mergeCell ref="F361:F362"/>
    <mergeCell ref="A365:B365"/>
    <mergeCell ref="E366:F366"/>
    <mergeCell ref="A369:B369"/>
    <mergeCell ref="E370:F370"/>
    <mergeCell ref="A373:B373"/>
    <mergeCell ref="E374:F374"/>
    <mergeCell ref="A381:B381"/>
    <mergeCell ref="A385:B385"/>
    <mergeCell ref="E386:F386"/>
    <mergeCell ref="E124:F124"/>
  </mergeCells>
  <hyperlinks>
    <hyperlink r:id="rId1" ref="C68"/>
    <hyperlink r:id="rId2" ref="K100"/>
    <hyperlink r:id="rId3" ref="K103"/>
  </hyperlinks>
  <printOptions/>
  <pageMargins bottom="0.3937007874015748" footer="0.0" header="0.0" left="0.15748031496062992" right="0.11811023622047245" top="0.3937007874015748"/>
  <pageSetup paperSize="9" orientation="landscape"/>
  <headerFooter>
    <oddFooter/>
  </headerFooter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5.71"/>
    <col customWidth="1" min="2" max="2" width="52.71"/>
    <col customWidth="1" min="3" max="3" width="45.71"/>
    <col customWidth="1" min="4" max="4" width="20.71"/>
    <col customWidth="1" min="5" max="5" width="10.71"/>
    <col customWidth="1" min="6" max="6" width="4.0"/>
    <col customWidth="1" min="7" max="7" width="14.71"/>
    <col customWidth="1" min="8" max="8" width="16.86"/>
    <col customWidth="1" min="9" max="14" width="8.71"/>
  </cols>
  <sheetData>
    <row r="1" ht="31.5" customHeight="1">
      <c r="A1" s="158">
        <v>1141212.0</v>
      </c>
      <c r="B1" s="2"/>
      <c r="C1" s="2"/>
      <c r="D1" s="3"/>
      <c r="E1" s="4"/>
      <c r="F1" s="5"/>
      <c r="G1" s="31"/>
      <c r="H1" s="2"/>
      <c r="I1" s="2"/>
      <c r="J1" s="2"/>
      <c r="K1" s="2"/>
      <c r="L1" s="2"/>
      <c r="M1" s="2"/>
      <c r="N1" s="2"/>
    </row>
    <row r="2" ht="24.0" customHeight="1">
      <c r="A2" s="21" t="s">
        <v>0</v>
      </c>
      <c r="B2" s="21" t="s">
        <v>1</v>
      </c>
      <c r="C2" s="21" t="s">
        <v>2</v>
      </c>
      <c r="D2" s="11" t="s">
        <v>3</v>
      </c>
      <c r="E2" s="11" t="s">
        <v>2307</v>
      </c>
      <c r="F2" s="13"/>
      <c r="G2" s="159" t="s">
        <v>5</v>
      </c>
      <c r="H2" s="2"/>
      <c r="I2" s="2"/>
      <c r="J2" s="2"/>
      <c r="K2" s="2"/>
      <c r="L2" s="2"/>
      <c r="M2" s="2"/>
      <c r="N2" s="2"/>
    </row>
    <row r="3" ht="24.0" hidden="1" customHeight="1">
      <c r="A3" s="160" t="s">
        <v>2308</v>
      </c>
      <c r="D3" s="3"/>
      <c r="E3" s="4"/>
      <c r="F3" s="5"/>
      <c r="G3" s="31"/>
      <c r="H3" s="2"/>
      <c r="I3" s="2"/>
      <c r="J3" s="2"/>
      <c r="K3" s="2"/>
      <c r="L3" s="2"/>
      <c r="M3" s="2"/>
      <c r="N3" s="2"/>
    </row>
    <row r="4" ht="31.5" hidden="1" customHeight="1">
      <c r="A4" s="161" t="s">
        <v>2309</v>
      </c>
      <c r="B4" s="13"/>
      <c r="C4" s="13"/>
      <c r="D4" s="12"/>
      <c r="E4" s="20"/>
      <c r="F4" s="21"/>
      <c r="G4" s="159"/>
      <c r="H4" s="2"/>
      <c r="I4" s="2"/>
      <c r="J4" s="2"/>
      <c r="K4" s="2"/>
      <c r="L4" s="2"/>
      <c r="M4" s="2"/>
      <c r="N4" s="2"/>
    </row>
    <row r="5" ht="24.0" customHeight="1">
      <c r="A5" s="21" t="s">
        <v>0</v>
      </c>
      <c r="B5" s="21" t="s">
        <v>1</v>
      </c>
      <c r="C5" s="21" t="s">
        <v>2</v>
      </c>
      <c r="D5" s="11" t="s">
        <v>3</v>
      </c>
      <c r="E5" s="11" t="s">
        <v>2307</v>
      </c>
      <c r="F5" s="13"/>
      <c r="G5" s="159" t="s">
        <v>5</v>
      </c>
      <c r="H5" s="2"/>
      <c r="I5" s="2"/>
      <c r="J5" s="2"/>
      <c r="K5" s="2"/>
      <c r="L5" s="2"/>
      <c r="M5" s="2"/>
      <c r="N5" s="2"/>
    </row>
    <row r="6" ht="24.0" customHeight="1">
      <c r="A6" s="5" t="s">
        <v>2310</v>
      </c>
      <c r="B6" s="60" t="s">
        <v>2311</v>
      </c>
      <c r="C6" s="5" t="s">
        <v>2312</v>
      </c>
      <c r="D6" s="162" t="s">
        <v>2313</v>
      </c>
      <c r="E6" s="69">
        <v>3.0</v>
      </c>
      <c r="F6" s="29" t="s">
        <v>15</v>
      </c>
      <c r="G6" s="163">
        <v>26280.0</v>
      </c>
      <c r="H6" s="2"/>
      <c r="I6" s="2"/>
      <c r="J6" s="2"/>
      <c r="K6" s="2"/>
      <c r="L6" s="2"/>
      <c r="M6" s="2"/>
      <c r="N6" s="2"/>
    </row>
    <row r="7" ht="15.75" customHeight="1">
      <c r="A7" s="5" t="s">
        <v>2314</v>
      </c>
      <c r="B7" s="5" t="s">
        <v>2315</v>
      </c>
      <c r="C7" s="5" t="s">
        <v>2316</v>
      </c>
      <c r="D7" s="62" t="s">
        <v>2317</v>
      </c>
      <c r="E7" s="69">
        <v>2.0</v>
      </c>
      <c r="F7" s="29" t="s">
        <v>15</v>
      </c>
      <c r="G7" s="25">
        <v>29000.0</v>
      </c>
      <c r="H7" s="2"/>
      <c r="I7" s="2"/>
      <c r="J7" s="2"/>
      <c r="K7" s="2"/>
      <c r="L7" s="2"/>
      <c r="M7" s="2"/>
      <c r="N7" s="2"/>
    </row>
    <row r="8" ht="15.75" customHeight="1">
      <c r="A8" s="5" t="s">
        <v>2318</v>
      </c>
      <c r="B8" s="5" t="s">
        <v>2319</v>
      </c>
      <c r="C8" s="5" t="s">
        <v>2316</v>
      </c>
      <c r="D8" s="62" t="s">
        <v>2320</v>
      </c>
      <c r="E8" s="69">
        <v>12.0</v>
      </c>
      <c r="F8" s="29" t="s">
        <v>15</v>
      </c>
      <c r="G8" s="25">
        <v>27000.0</v>
      </c>
      <c r="H8" s="2"/>
      <c r="I8" s="2"/>
      <c r="J8" s="2"/>
      <c r="K8" s="2"/>
      <c r="L8" s="2"/>
      <c r="M8" s="2"/>
      <c r="N8" s="2"/>
    </row>
    <row r="9" ht="24.0" customHeight="1">
      <c r="A9" s="5" t="s">
        <v>2321</v>
      </c>
      <c r="B9" s="5" t="s">
        <v>2322</v>
      </c>
      <c r="C9" s="5" t="s">
        <v>2323</v>
      </c>
      <c r="D9" s="162" t="s">
        <v>2324</v>
      </c>
      <c r="E9" s="69">
        <v>6.0</v>
      </c>
      <c r="F9" s="29" t="s">
        <v>15</v>
      </c>
      <c r="G9" s="25">
        <v>20000.0</v>
      </c>
      <c r="H9" s="2"/>
      <c r="I9" s="2"/>
      <c r="J9" s="2"/>
      <c r="K9" s="2"/>
      <c r="L9" s="2"/>
      <c r="M9" s="2"/>
      <c r="N9" s="2"/>
    </row>
    <row r="10" ht="24.0" customHeight="1">
      <c r="A10" s="22" t="s">
        <v>2325</v>
      </c>
      <c r="B10" s="22" t="s">
        <v>2326</v>
      </c>
      <c r="C10" s="27" t="s">
        <v>2327</v>
      </c>
      <c r="D10" s="32" t="s">
        <v>2328</v>
      </c>
      <c r="E10" s="69">
        <v>6.0</v>
      </c>
      <c r="F10" s="29" t="s">
        <v>15</v>
      </c>
      <c r="G10" s="25">
        <v>17000.0</v>
      </c>
      <c r="H10" s="2"/>
      <c r="I10" s="2"/>
      <c r="J10" s="2"/>
      <c r="K10" s="2"/>
      <c r="L10" s="2"/>
      <c r="M10" s="2"/>
      <c r="N10" s="2"/>
    </row>
    <row r="11" ht="24.0" customHeight="1">
      <c r="A11" s="22" t="s">
        <v>2329</v>
      </c>
      <c r="B11" s="164" t="s">
        <v>2330</v>
      </c>
      <c r="C11" s="27" t="s">
        <v>2331</v>
      </c>
      <c r="D11" s="162" t="s">
        <v>2332</v>
      </c>
      <c r="E11" s="69">
        <v>12.0</v>
      </c>
      <c r="F11" s="29" t="s">
        <v>15</v>
      </c>
      <c r="G11" s="25">
        <v>13000.0</v>
      </c>
      <c r="H11" s="2"/>
      <c r="I11" s="2"/>
      <c r="J11" s="2"/>
      <c r="K11" s="2"/>
      <c r="L11" s="2"/>
      <c r="M11" s="2"/>
      <c r="N11" s="2"/>
    </row>
    <row r="12" ht="24.0" customHeight="1">
      <c r="A12" s="53" t="s">
        <v>2333</v>
      </c>
      <c r="B12" s="34" t="s">
        <v>2334</v>
      </c>
      <c r="C12" s="22" t="s">
        <v>2335</v>
      </c>
      <c r="D12" s="52" t="s">
        <v>2336</v>
      </c>
      <c r="E12" s="69">
        <v>24.0</v>
      </c>
      <c r="F12" s="29" t="s">
        <v>15</v>
      </c>
      <c r="G12" s="33">
        <v>12500.0</v>
      </c>
      <c r="H12" s="2"/>
      <c r="I12" s="2"/>
      <c r="J12" s="2"/>
      <c r="K12" s="2"/>
      <c r="L12" s="2"/>
      <c r="M12" s="2"/>
      <c r="N12" s="2"/>
    </row>
    <row r="13" ht="24.0" hidden="1" customHeight="1">
      <c r="A13" s="53" t="s">
        <v>2337</v>
      </c>
      <c r="B13" s="22" t="s">
        <v>2338</v>
      </c>
      <c r="C13" s="27" t="s">
        <v>2339</v>
      </c>
      <c r="D13" s="62" t="s">
        <v>2340</v>
      </c>
      <c r="E13" s="69"/>
      <c r="F13" s="29"/>
      <c r="G13" s="25">
        <v>14000.0</v>
      </c>
      <c r="H13" s="2"/>
      <c r="I13" s="2"/>
      <c r="J13" s="2"/>
      <c r="K13" s="2"/>
      <c r="L13" s="2"/>
      <c r="M13" s="2"/>
      <c r="N13" s="2"/>
    </row>
    <row r="14" ht="24.0" customHeight="1">
      <c r="A14" s="53" t="s">
        <v>2341</v>
      </c>
      <c r="B14" s="22" t="s">
        <v>2342</v>
      </c>
      <c r="C14" s="27" t="s">
        <v>2339</v>
      </c>
      <c r="D14" s="62" t="s">
        <v>2343</v>
      </c>
      <c r="E14" s="69">
        <v>6.0</v>
      </c>
      <c r="F14" s="29" t="s">
        <v>15</v>
      </c>
      <c r="G14" s="25">
        <v>14000.0</v>
      </c>
      <c r="H14" s="2"/>
      <c r="I14" s="2"/>
      <c r="J14" s="2"/>
      <c r="K14" s="2"/>
      <c r="L14" s="2"/>
      <c r="M14" s="2"/>
      <c r="N14" s="2"/>
    </row>
    <row r="15" ht="24.0" customHeight="1">
      <c r="A15" s="53" t="s">
        <v>2344</v>
      </c>
      <c r="B15" s="22" t="s">
        <v>2342</v>
      </c>
      <c r="C15" s="27" t="s">
        <v>2339</v>
      </c>
      <c r="D15" s="62" t="s">
        <v>2343</v>
      </c>
      <c r="E15" s="69">
        <v>6.0</v>
      </c>
      <c r="F15" s="29" t="s">
        <v>15</v>
      </c>
      <c r="G15" s="25">
        <v>14000.0</v>
      </c>
      <c r="H15" s="2"/>
      <c r="I15" s="2"/>
      <c r="J15" s="2"/>
      <c r="K15" s="2"/>
      <c r="L15" s="2"/>
      <c r="M15" s="2"/>
      <c r="N15" s="2"/>
    </row>
    <row r="16" ht="24.0" customHeight="1">
      <c r="A16" s="53" t="s">
        <v>2345</v>
      </c>
      <c r="B16" s="60" t="s">
        <v>2346</v>
      </c>
      <c r="C16" s="27" t="s">
        <v>2347</v>
      </c>
      <c r="D16" s="162" t="s">
        <v>2348</v>
      </c>
      <c r="E16" s="69">
        <v>6.0</v>
      </c>
      <c r="F16" s="29" t="s">
        <v>15</v>
      </c>
      <c r="G16" s="25">
        <v>11790.0</v>
      </c>
      <c r="H16" s="2"/>
      <c r="I16" s="2"/>
      <c r="J16" s="2"/>
      <c r="K16" s="2"/>
      <c r="L16" s="2"/>
      <c r="M16" s="2"/>
      <c r="N16" s="2"/>
    </row>
    <row r="17" ht="24.0" customHeight="1">
      <c r="A17" s="53" t="s">
        <v>2349</v>
      </c>
      <c r="B17" s="60" t="s">
        <v>2346</v>
      </c>
      <c r="C17" s="27" t="s">
        <v>2350</v>
      </c>
      <c r="D17" s="162" t="s">
        <v>2348</v>
      </c>
      <c r="E17" s="69">
        <v>12.0</v>
      </c>
      <c r="F17" s="29" t="s">
        <v>15</v>
      </c>
      <c r="G17" s="25">
        <v>11790.0</v>
      </c>
      <c r="H17" s="2"/>
      <c r="I17" s="2"/>
      <c r="J17" s="2"/>
      <c r="K17" s="2"/>
      <c r="L17" s="2"/>
      <c r="M17" s="2"/>
      <c r="N17" s="2"/>
    </row>
    <row r="18" ht="24.0" customHeight="1">
      <c r="A18" s="53" t="s">
        <v>2351</v>
      </c>
      <c r="B18" s="60" t="s">
        <v>2352</v>
      </c>
      <c r="C18" s="22" t="s">
        <v>2339</v>
      </c>
      <c r="D18" s="32" t="s">
        <v>2353</v>
      </c>
      <c r="E18" s="69">
        <v>12.0</v>
      </c>
      <c r="F18" s="29" t="s">
        <v>15</v>
      </c>
      <c r="G18" s="33">
        <v>13000.0</v>
      </c>
      <c r="H18" s="2"/>
      <c r="I18" s="2"/>
      <c r="J18" s="2"/>
      <c r="K18" s="2"/>
      <c r="L18" s="2"/>
      <c r="M18" s="2"/>
      <c r="N18" s="2"/>
    </row>
    <row r="19" ht="24.0" customHeight="1">
      <c r="A19" s="53" t="s">
        <v>2354</v>
      </c>
      <c r="B19" s="60" t="s">
        <v>2355</v>
      </c>
      <c r="C19" s="27" t="s">
        <v>2356</v>
      </c>
      <c r="D19" s="162" t="s">
        <v>1060</v>
      </c>
      <c r="E19" s="69">
        <v>6.0</v>
      </c>
      <c r="F19" s="29" t="s">
        <v>15</v>
      </c>
      <c r="G19" s="25">
        <v>12500.0</v>
      </c>
      <c r="H19" s="2"/>
      <c r="I19" s="2"/>
      <c r="J19" s="2"/>
      <c r="K19" s="2"/>
      <c r="L19" s="2"/>
      <c r="M19" s="2"/>
      <c r="N19" s="2"/>
    </row>
    <row r="20" ht="24.0" customHeight="1">
      <c r="A20" s="53" t="s">
        <v>2357</v>
      </c>
      <c r="B20" s="30" t="s">
        <v>2358</v>
      </c>
      <c r="C20" s="27" t="s">
        <v>2359</v>
      </c>
      <c r="D20" s="62" t="s">
        <v>2360</v>
      </c>
      <c r="E20" s="69">
        <v>35.0</v>
      </c>
      <c r="F20" s="29" t="s">
        <v>15</v>
      </c>
      <c r="G20" s="25">
        <v>5000.0</v>
      </c>
      <c r="H20" s="2"/>
      <c r="I20" s="2"/>
      <c r="J20" s="2"/>
      <c r="K20" s="2"/>
      <c r="L20" s="2"/>
      <c r="M20" s="2"/>
      <c r="N20" s="2"/>
    </row>
    <row r="21" ht="24.0" customHeight="1">
      <c r="A21" s="53" t="s">
        <v>2361</v>
      </c>
      <c r="B21" s="30" t="s">
        <v>2362</v>
      </c>
      <c r="C21" s="27" t="s">
        <v>2363</v>
      </c>
      <c r="D21" s="162" t="s">
        <v>2364</v>
      </c>
      <c r="E21" s="69">
        <v>24.0</v>
      </c>
      <c r="F21" s="29" t="s">
        <v>15</v>
      </c>
      <c r="G21" s="25">
        <v>3700.0</v>
      </c>
      <c r="H21" s="2"/>
      <c r="I21" s="2"/>
      <c r="J21" s="2"/>
      <c r="K21" s="2"/>
      <c r="L21" s="2"/>
      <c r="M21" s="2"/>
      <c r="N21" s="2"/>
    </row>
    <row r="22" ht="24.0" customHeight="1">
      <c r="A22" s="53" t="s">
        <v>2365</v>
      </c>
      <c r="B22" s="60" t="s">
        <v>2366</v>
      </c>
      <c r="C22" s="27" t="s">
        <v>2367</v>
      </c>
      <c r="D22" s="162" t="s">
        <v>1128</v>
      </c>
      <c r="E22" s="69">
        <v>20.0</v>
      </c>
      <c r="F22" s="29" t="s">
        <v>15</v>
      </c>
      <c r="G22" s="25">
        <v>3500.0</v>
      </c>
      <c r="H22" s="2"/>
      <c r="I22" s="2"/>
      <c r="J22" s="2"/>
      <c r="K22" s="2"/>
      <c r="L22" s="2"/>
      <c r="M22" s="2"/>
      <c r="N22" s="2"/>
    </row>
    <row r="23" ht="24.0" hidden="1" customHeight="1">
      <c r="A23" s="5" t="s">
        <v>2368</v>
      </c>
      <c r="B23" s="164" t="s">
        <v>2369</v>
      </c>
      <c r="C23" s="5" t="s">
        <v>2370</v>
      </c>
      <c r="D23" s="162" t="s">
        <v>2371</v>
      </c>
      <c r="E23" s="69"/>
      <c r="F23" s="29"/>
      <c r="G23" s="25">
        <v>5670.0</v>
      </c>
      <c r="H23" s="2"/>
      <c r="I23" s="2"/>
      <c r="J23" s="2"/>
      <c r="K23" s="2"/>
      <c r="L23" s="2"/>
      <c r="M23" s="2"/>
      <c r="N23" s="2"/>
    </row>
    <row r="24" ht="24.0" hidden="1" customHeight="1">
      <c r="A24" s="5" t="s">
        <v>2372</v>
      </c>
      <c r="B24" s="164" t="s">
        <v>2369</v>
      </c>
      <c r="C24" s="5" t="s">
        <v>2373</v>
      </c>
      <c r="D24" s="162" t="s">
        <v>2371</v>
      </c>
      <c r="E24" s="69"/>
      <c r="F24" s="29"/>
      <c r="G24" s="25">
        <v>5670.0</v>
      </c>
      <c r="H24" s="2"/>
      <c r="I24" s="2"/>
      <c r="J24" s="2"/>
      <c r="K24" s="2"/>
      <c r="L24" s="2"/>
      <c r="M24" s="2"/>
      <c r="N24" s="2"/>
    </row>
    <row r="25" ht="24.0" hidden="1" customHeight="1">
      <c r="A25" s="5" t="s">
        <v>2374</v>
      </c>
      <c r="B25" s="164" t="s">
        <v>2369</v>
      </c>
      <c r="C25" s="5" t="s">
        <v>2370</v>
      </c>
      <c r="D25" s="162" t="s">
        <v>2371</v>
      </c>
      <c r="E25" s="69"/>
      <c r="F25" s="29"/>
      <c r="G25" s="25">
        <v>5670.0</v>
      </c>
      <c r="H25" s="2"/>
      <c r="I25" s="2"/>
      <c r="J25" s="2"/>
      <c r="K25" s="2"/>
      <c r="L25" s="2"/>
      <c r="M25" s="2"/>
      <c r="N25" s="2"/>
    </row>
    <row r="26" ht="24.0" customHeight="1">
      <c r="A26" s="53" t="s">
        <v>2375</v>
      </c>
      <c r="B26" s="60" t="s">
        <v>2376</v>
      </c>
      <c r="C26" s="22" t="s">
        <v>2370</v>
      </c>
      <c r="D26" s="32" t="s">
        <v>2377</v>
      </c>
      <c r="E26" s="165">
        <v>12.0</v>
      </c>
      <c r="F26" s="34" t="s">
        <v>15</v>
      </c>
      <c r="G26" s="33">
        <v>4100.0</v>
      </c>
      <c r="H26" s="2"/>
      <c r="I26" s="2"/>
      <c r="J26" s="2"/>
      <c r="K26" s="2"/>
      <c r="L26" s="2"/>
      <c r="M26" s="2"/>
      <c r="N26" s="2"/>
    </row>
    <row r="27" ht="24.0" customHeight="1">
      <c r="A27" s="53" t="s">
        <v>2378</v>
      </c>
      <c r="B27" s="60" t="s">
        <v>2379</v>
      </c>
      <c r="C27" s="22" t="s">
        <v>2370</v>
      </c>
      <c r="D27" s="32" t="s">
        <v>2377</v>
      </c>
      <c r="E27" s="69">
        <v>6.0</v>
      </c>
      <c r="F27" s="29" t="s">
        <v>15</v>
      </c>
      <c r="G27" s="33">
        <v>4100.0</v>
      </c>
      <c r="H27" s="2"/>
      <c r="I27" s="2"/>
      <c r="J27" s="2"/>
      <c r="K27" s="2"/>
      <c r="L27" s="2"/>
      <c r="M27" s="2"/>
      <c r="N27" s="2"/>
    </row>
    <row r="28" ht="24.0" customHeight="1">
      <c r="A28" s="5" t="s">
        <v>2380</v>
      </c>
      <c r="B28" s="60" t="s">
        <v>2381</v>
      </c>
      <c r="C28" s="5" t="s">
        <v>2382</v>
      </c>
      <c r="D28" s="162" t="s">
        <v>2383</v>
      </c>
      <c r="E28" s="69">
        <v>12.0</v>
      </c>
      <c r="F28" s="29" t="s">
        <v>15</v>
      </c>
      <c r="G28" s="25">
        <v>4000.0</v>
      </c>
      <c r="H28" s="2"/>
      <c r="I28" s="2"/>
      <c r="J28" s="2"/>
      <c r="K28" s="2"/>
      <c r="L28" s="2"/>
      <c r="M28" s="2"/>
      <c r="N28" s="2"/>
    </row>
    <row r="29" ht="24.0" customHeight="1">
      <c r="A29" s="5" t="s">
        <v>2384</v>
      </c>
      <c r="B29" s="5" t="s">
        <v>2385</v>
      </c>
      <c r="C29" s="5" t="s">
        <v>2386</v>
      </c>
      <c r="D29" s="62" t="s">
        <v>2387</v>
      </c>
      <c r="E29" s="69">
        <v>3.0</v>
      </c>
      <c r="F29" s="29" t="s">
        <v>15</v>
      </c>
      <c r="G29" s="25">
        <v>8400.0</v>
      </c>
      <c r="H29" s="2"/>
      <c r="I29" s="2"/>
      <c r="J29" s="2"/>
      <c r="K29" s="2"/>
      <c r="L29" s="2"/>
      <c r="M29" s="2"/>
      <c r="N29" s="2"/>
    </row>
    <row r="30" ht="24.0" customHeight="1">
      <c r="A30" s="5" t="s">
        <v>2388</v>
      </c>
      <c r="B30" s="5" t="s">
        <v>2389</v>
      </c>
      <c r="C30" s="5" t="s">
        <v>2386</v>
      </c>
      <c r="D30" s="62" t="s">
        <v>2390</v>
      </c>
      <c r="E30" s="69">
        <v>12.0</v>
      </c>
      <c r="F30" s="29" t="s">
        <v>15</v>
      </c>
      <c r="G30" s="25">
        <v>6300.0</v>
      </c>
      <c r="H30" s="2"/>
      <c r="I30" s="2"/>
      <c r="J30" s="2"/>
      <c r="K30" s="2"/>
      <c r="L30" s="2"/>
      <c r="M30" s="2"/>
      <c r="N30" s="2"/>
    </row>
    <row r="31" ht="24.0" customHeight="1">
      <c r="A31" s="5" t="s">
        <v>2391</v>
      </c>
      <c r="B31" s="5" t="s">
        <v>2392</v>
      </c>
      <c r="C31" s="5" t="s">
        <v>2393</v>
      </c>
      <c r="D31" s="62" t="s">
        <v>2394</v>
      </c>
      <c r="E31" s="69">
        <v>18.0</v>
      </c>
      <c r="F31" s="29" t="s">
        <v>15</v>
      </c>
      <c r="G31" s="25">
        <v>8100.0</v>
      </c>
      <c r="H31" s="2"/>
      <c r="I31" s="2"/>
      <c r="J31" s="2"/>
      <c r="K31" s="2"/>
      <c r="L31" s="2"/>
      <c r="M31" s="2"/>
      <c r="N31" s="2"/>
    </row>
    <row r="32" ht="24.0" customHeight="1">
      <c r="A32" s="5" t="s">
        <v>2395</v>
      </c>
      <c r="B32" s="60" t="s">
        <v>2396</v>
      </c>
      <c r="C32" s="27" t="s">
        <v>2397</v>
      </c>
      <c r="D32" s="162" t="s">
        <v>2377</v>
      </c>
      <c r="E32" s="69">
        <v>12.0</v>
      </c>
      <c r="F32" s="29" t="s">
        <v>15</v>
      </c>
      <c r="G32" s="25">
        <v>2650.0</v>
      </c>
      <c r="H32" s="2"/>
      <c r="I32" s="2"/>
      <c r="J32" s="2"/>
      <c r="K32" s="2"/>
      <c r="L32" s="2"/>
      <c r="M32" s="2"/>
      <c r="N32" s="2"/>
    </row>
    <row r="33" ht="24.0" customHeight="1">
      <c r="A33" s="5" t="s">
        <v>2398</v>
      </c>
      <c r="B33" s="60" t="s">
        <v>2399</v>
      </c>
      <c r="C33" s="27" t="s">
        <v>2400</v>
      </c>
      <c r="D33" s="162" t="s">
        <v>2324</v>
      </c>
      <c r="E33" s="69">
        <v>12.0</v>
      </c>
      <c r="F33" s="29" t="s">
        <v>15</v>
      </c>
      <c r="G33" s="25">
        <v>2850.0</v>
      </c>
      <c r="H33" s="2"/>
      <c r="I33" s="2"/>
      <c r="J33" s="2"/>
      <c r="K33" s="2"/>
      <c r="L33" s="2"/>
      <c r="M33" s="2"/>
      <c r="N33" s="2"/>
    </row>
    <row r="34" ht="24.0" customHeight="1">
      <c r="A34" s="5" t="s">
        <v>2401</v>
      </c>
      <c r="B34" s="60" t="s">
        <v>2402</v>
      </c>
      <c r="C34" s="27" t="s">
        <v>2403</v>
      </c>
      <c r="D34" s="162" t="s">
        <v>2404</v>
      </c>
      <c r="E34" s="69">
        <v>6.0</v>
      </c>
      <c r="F34" s="29" t="s">
        <v>15</v>
      </c>
      <c r="G34" s="25">
        <v>3300.0</v>
      </c>
      <c r="H34" s="2"/>
      <c r="I34" s="2"/>
      <c r="J34" s="2"/>
      <c r="K34" s="2"/>
      <c r="L34" s="2"/>
      <c r="M34" s="2"/>
      <c r="N34" s="2"/>
    </row>
    <row r="35" ht="24.0" customHeight="1">
      <c r="A35" s="22" t="s">
        <v>2405</v>
      </c>
      <c r="B35" s="60" t="s">
        <v>2406</v>
      </c>
      <c r="C35" s="27" t="s">
        <v>2407</v>
      </c>
      <c r="D35" s="162" t="s">
        <v>2408</v>
      </c>
      <c r="E35" s="69">
        <v>35.0</v>
      </c>
      <c r="F35" s="29" t="s">
        <v>15</v>
      </c>
      <c r="G35" s="25">
        <v>3750.0</v>
      </c>
      <c r="H35" s="2"/>
      <c r="I35" s="2"/>
      <c r="J35" s="2"/>
      <c r="K35" s="2"/>
      <c r="L35" s="2"/>
      <c r="M35" s="2"/>
      <c r="N35" s="2"/>
    </row>
    <row r="36" ht="24.0" customHeight="1">
      <c r="A36" s="5" t="s">
        <v>2409</v>
      </c>
      <c r="B36" s="60" t="s">
        <v>2410</v>
      </c>
      <c r="C36" s="27" t="s">
        <v>2411</v>
      </c>
      <c r="D36" s="162" t="s">
        <v>2412</v>
      </c>
      <c r="E36" s="69">
        <v>11.0</v>
      </c>
      <c r="F36" s="29" t="s">
        <v>15</v>
      </c>
      <c r="G36" s="25">
        <v>5200.0</v>
      </c>
      <c r="H36" s="2"/>
      <c r="I36" s="2"/>
      <c r="J36" s="2"/>
      <c r="K36" s="2"/>
      <c r="L36" s="2"/>
      <c r="M36" s="2"/>
      <c r="N36" s="2"/>
    </row>
    <row r="37" ht="24.0" customHeight="1">
      <c r="A37" s="53" t="s">
        <v>2413</v>
      </c>
      <c r="B37" s="60" t="s">
        <v>2414</v>
      </c>
      <c r="C37" s="27" t="s">
        <v>2415</v>
      </c>
      <c r="D37" s="162" t="s">
        <v>2416</v>
      </c>
      <c r="E37" s="69">
        <v>24.0</v>
      </c>
      <c r="F37" s="29" t="s">
        <v>15</v>
      </c>
      <c r="G37" s="25">
        <v>1600.0</v>
      </c>
      <c r="H37" s="2"/>
      <c r="I37" s="2"/>
      <c r="J37" s="2"/>
      <c r="K37" s="2"/>
      <c r="L37" s="2"/>
      <c r="M37" s="2"/>
      <c r="N37" s="2"/>
    </row>
    <row r="38" ht="24.0" customHeight="1">
      <c r="A38" s="5" t="s">
        <v>2417</v>
      </c>
      <c r="B38" s="60" t="s">
        <v>2418</v>
      </c>
      <c r="C38" s="27" t="s">
        <v>2419</v>
      </c>
      <c r="D38" s="162" t="s">
        <v>2420</v>
      </c>
      <c r="E38" s="69">
        <v>36.0</v>
      </c>
      <c r="F38" s="29" t="s">
        <v>15</v>
      </c>
      <c r="G38" s="25">
        <v>3200.0</v>
      </c>
      <c r="H38" s="2"/>
      <c r="I38" s="2"/>
      <c r="J38" s="2"/>
      <c r="K38" s="2"/>
      <c r="L38" s="2"/>
      <c r="M38" s="2"/>
      <c r="N38" s="2"/>
    </row>
    <row r="39" ht="24.0" customHeight="1">
      <c r="A39" s="5" t="s">
        <v>2421</v>
      </c>
      <c r="B39" s="60" t="s">
        <v>2422</v>
      </c>
      <c r="C39" s="27" t="s">
        <v>2423</v>
      </c>
      <c r="D39" s="162" t="s">
        <v>2313</v>
      </c>
      <c r="E39" s="69">
        <v>13.0</v>
      </c>
      <c r="F39" s="29" t="s">
        <v>15</v>
      </c>
      <c r="G39" s="25">
        <v>2500.0</v>
      </c>
      <c r="H39" s="2"/>
      <c r="I39" s="2"/>
      <c r="J39" s="2"/>
      <c r="K39" s="2"/>
      <c r="L39" s="2"/>
      <c r="M39" s="2"/>
      <c r="N39" s="2"/>
    </row>
    <row r="40" ht="15.75" customHeight="1">
      <c r="A40" s="5" t="s">
        <v>2424</v>
      </c>
      <c r="B40" s="60" t="s">
        <v>2425</v>
      </c>
      <c r="C40" s="27" t="s">
        <v>2426</v>
      </c>
      <c r="D40" s="162" t="s">
        <v>2427</v>
      </c>
      <c r="E40" s="69">
        <v>3.0</v>
      </c>
      <c r="F40" s="29" t="s">
        <v>15</v>
      </c>
      <c r="G40" s="25">
        <v>4700.0</v>
      </c>
      <c r="H40" s="2"/>
      <c r="I40" s="2"/>
      <c r="J40" s="2"/>
      <c r="K40" s="2"/>
      <c r="L40" s="2"/>
      <c r="M40" s="2"/>
      <c r="N40" s="2"/>
    </row>
    <row r="41" ht="15.75" customHeight="1">
      <c r="A41" s="5" t="s">
        <v>2428</v>
      </c>
      <c r="B41" s="60" t="s">
        <v>2429</v>
      </c>
      <c r="C41" s="27" t="s">
        <v>2430</v>
      </c>
      <c r="D41" s="162" t="s">
        <v>2431</v>
      </c>
      <c r="E41" s="69">
        <v>2.0</v>
      </c>
      <c r="F41" s="29" t="s">
        <v>15</v>
      </c>
      <c r="G41" s="25">
        <v>4700.0</v>
      </c>
      <c r="H41" s="2"/>
      <c r="I41" s="2"/>
      <c r="J41" s="2"/>
      <c r="K41" s="2"/>
      <c r="L41" s="2"/>
      <c r="M41" s="2"/>
      <c r="N41" s="2"/>
    </row>
    <row r="42" ht="24.0" hidden="1" customHeight="1">
      <c r="A42" s="22" t="s">
        <v>2432</v>
      </c>
      <c r="B42" s="38" t="s">
        <v>2433</v>
      </c>
      <c r="C42" s="27" t="s">
        <v>2434</v>
      </c>
      <c r="D42" s="32" t="s">
        <v>2435</v>
      </c>
      <c r="E42" s="69"/>
      <c r="F42" s="29"/>
      <c r="G42" s="25">
        <v>1200.0</v>
      </c>
      <c r="H42" s="2"/>
      <c r="I42" s="2"/>
      <c r="J42" s="2"/>
      <c r="K42" s="2"/>
      <c r="L42" s="2"/>
      <c r="M42" s="2"/>
      <c r="N42" s="2"/>
    </row>
    <row r="43" ht="24.0" hidden="1" customHeight="1">
      <c r="A43" s="27" t="s">
        <v>2436</v>
      </c>
      <c r="B43" s="27" t="s">
        <v>2437</v>
      </c>
      <c r="C43" s="27" t="s">
        <v>2438</v>
      </c>
      <c r="D43" s="32" t="s">
        <v>2364</v>
      </c>
      <c r="E43" s="69"/>
      <c r="F43" s="29"/>
      <c r="G43" s="25">
        <v>1800.0</v>
      </c>
      <c r="H43" s="2"/>
      <c r="I43" s="2"/>
      <c r="J43" s="2"/>
      <c r="K43" s="2"/>
      <c r="L43" s="2"/>
      <c r="M43" s="2"/>
      <c r="N43" s="2"/>
    </row>
    <row r="44" ht="24.0" customHeight="1">
      <c r="A44" s="27" t="s">
        <v>2439</v>
      </c>
      <c r="B44" s="27" t="s">
        <v>2440</v>
      </c>
      <c r="C44" s="27" t="s">
        <v>2441</v>
      </c>
      <c r="D44" s="32" t="s">
        <v>2442</v>
      </c>
      <c r="E44" s="69">
        <v>6.0</v>
      </c>
      <c r="F44" s="29" t="s">
        <v>15</v>
      </c>
      <c r="G44" s="25">
        <v>4400.0</v>
      </c>
      <c r="H44" s="2"/>
      <c r="I44" s="2"/>
      <c r="J44" s="2"/>
      <c r="K44" s="2"/>
      <c r="L44" s="2"/>
      <c r="M44" s="2"/>
      <c r="N44" s="2"/>
    </row>
    <row r="45" ht="24.0" hidden="1" customHeight="1">
      <c r="A45" s="2"/>
      <c r="B45" s="2"/>
      <c r="C45" s="2"/>
      <c r="D45" s="32"/>
      <c r="E45" s="69"/>
      <c r="F45" s="29"/>
      <c r="G45" s="25"/>
      <c r="H45" s="2"/>
      <c r="I45" s="2"/>
      <c r="J45" s="2"/>
      <c r="K45" s="2"/>
      <c r="L45" s="2"/>
      <c r="M45" s="2"/>
      <c r="N45" s="2"/>
    </row>
    <row r="46" ht="31.5" hidden="1" customHeight="1">
      <c r="A46" s="166" t="s">
        <v>2443</v>
      </c>
      <c r="B46" s="13"/>
      <c r="C46" s="13"/>
      <c r="D46" s="12"/>
      <c r="E46" s="20"/>
      <c r="F46" s="21"/>
      <c r="G46" s="159"/>
      <c r="H46" s="2"/>
      <c r="I46" s="2"/>
      <c r="J46" s="2"/>
      <c r="K46" s="2"/>
      <c r="L46" s="2"/>
      <c r="M46" s="2"/>
      <c r="N46" s="2"/>
    </row>
    <row r="47" ht="24.0" customHeight="1">
      <c r="A47" s="21" t="s">
        <v>0</v>
      </c>
      <c r="B47" s="21" t="s">
        <v>1</v>
      </c>
      <c r="C47" s="21" t="s">
        <v>2</v>
      </c>
      <c r="D47" s="11" t="s">
        <v>3</v>
      </c>
      <c r="E47" s="11" t="s">
        <v>2307</v>
      </c>
      <c r="F47" s="13"/>
      <c r="G47" s="159" t="s">
        <v>5</v>
      </c>
      <c r="H47" s="2"/>
      <c r="I47" s="2"/>
      <c r="J47" s="2"/>
      <c r="K47" s="2"/>
      <c r="L47" s="2"/>
      <c r="M47" s="2"/>
      <c r="N47" s="2"/>
    </row>
    <row r="48" ht="24.0" hidden="1" customHeight="1">
      <c r="A48" s="22" t="s">
        <v>2444</v>
      </c>
      <c r="B48" s="22" t="s">
        <v>2445</v>
      </c>
      <c r="C48" s="27" t="s">
        <v>2446</v>
      </c>
      <c r="D48" s="32" t="s">
        <v>2447</v>
      </c>
      <c r="E48" s="69"/>
      <c r="F48" s="29"/>
      <c r="G48" s="25">
        <v>10000.0</v>
      </c>
      <c r="H48" s="2"/>
      <c r="I48" s="2"/>
      <c r="J48" s="2"/>
      <c r="K48" s="2"/>
      <c r="L48" s="2"/>
      <c r="M48" s="2"/>
      <c r="N48" s="2"/>
    </row>
    <row r="49" ht="24.0" customHeight="1">
      <c r="A49" s="53" t="s">
        <v>2448</v>
      </c>
      <c r="B49" s="53" t="s">
        <v>2449</v>
      </c>
      <c r="C49" s="27" t="s">
        <v>2450</v>
      </c>
      <c r="D49" s="32" t="s">
        <v>2451</v>
      </c>
      <c r="E49" s="69">
        <v>18.0</v>
      </c>
      <c r="F49" s="29" t="s">
        <v>15</v>
      </c>
      <c r="G49" s="31">
        <v>3700.0</v>
      </c>
      <c r="H49" s="2"/>
      <c r="I49" s="2"/>
      <c r="J49" s="2"/>
      <c r="K49" s="2"/>
      <c r="L49" s="2"/>
      <c r="M49" s="2"/>
      <c r="N49" s="2"/>
    </row>
    <row r="50" ht="24.0" customHeight="1">
      <c r="A50" s="5" t="s">
        <v>2452</v>
      </c>
      <c r="B50" s="60" t="s">
        <v>2453</v>
      </c>
      <c r="C50" s="27" t="s">
        <v>2454</v>
      </c>
      <c r="D50" s="162" t="s">
        <v>2455</v>
      </c>
      <c r="E50" s="69">
        <v>23.0</v>
      </c>
      <c r="F50" s="29" t="s">
        <v>15</v>
      </c>
      <c r="G50" s="25">
        <v>4600.0</v>
      </c>
      <c r="H50" s="2"/>
      <c r="I50" s="2"/>
      <c r="J50" s="2"/>
      <c r="K50" s="2"/>
      <c r="L50" s="2"/>
      <c r="M50" s="2"/>
      <c r="N50" s="2"/>
    </row>
    <row r="51" ht="24.0" customHeight="1">
      <c r="A51" s="5" t="s">
        <v>2456</v>
      </c>
      <c r="B51" s="60" t="s">
        <v>2453</v>
      </c>
      <c r="C51" s="27" t="s">
        <v>2450</v>
      </c>
      <c r="D51" s="162" t="s">
        <v>2455</v>
      </c>
      <c r="E51" s="69">
        <v>12.0</v>
      </c>
      <c r="F51" s="29" t="s">
        <v>15</v>
      </c>
      <c r="G51" s="25">
        <v>4600.0</v>
      </c>
      <c r="H51" s="2"/>
      <c r="I51" s="2"/>
      <c r="J51" s="2"/>
      <c r="K51" s="2"/>
      <c r="L51" s="2"/>
      <c r="M51" s="2"/>
      <c r="N51" s="2"/>
    </row>
    <row r="52" ht="24.0" customHeight="1">
      <c r="A52" s="22" t="s">
        <v>2457</v>
      </c>
      <c r="B52" s="22" t="s">
        <v>2458</v>
      </c>
      <c r="C52" s="27" t="s">
        <v>2459</v>
      </c>
      <c r="D52" s="32" t="s">
        <v>2460</v>
      </c>
      <c r="E52" s="69">
        <v>12.0</v>
      </c>
      <c r="F52" s="29" t="s">
        <v>15</v>
      </c>
      <c r="G52" s="25">
        <v>3700.0</v>
      </c>
      <c r="H52" s="2"/>
      <c r="I52" s="2"/>
      <c r="J52" s="2"/>
      <c r="K52" s="2"/>
      <c r="L52" s="2"/>
      <c r="M52" s="2"/>
      <c r="N52" s="2"/>
    </row>
    <row r="53" ht="24.0" customHeight="1">
      <c r="A53" s="53" t="s">
        <v>2461</v>
      </c>
      <c r="B53" s="53" t="s">
        <v>2462</v>
      </c>
      <c r="C53" s="27" t="s">
        <v>2463</v>
      </c>
      <c r="D53" s="32" t="s">
        <v>2464</v>
      </c>
      <c r="E53" s="69">
        <v>22.0</v>
      </c>
      <c r="F53" s="29" t="s">
        <v>15</v>
      </c>
      <c r="G53" s="31">
        <v>1300.0</v>
      </c>
      <c r="H53" s="2"/>
      <c r="I53" s="2"/>
      <c r="J53" s="2"/>
      <c r="K53" s="2"/>
      <c r="L53" s="2"/>
      <c r="M53" s="2"/>
      <c r="N53" s="2"/>
    </row>
    <row r="54" ht="24.0" customHeight="1">
      <c r="A54" s="53" t="s">
        <v>2465</v>
      </c>
      <c r="B54" s="53" t="s">
        <v>2466</v>
      </c>
      <c r="C54" s="27" t="s">
        <v>2463</v>
      </c>
      <c r="D54" s="32" t="s">
        <v>2467</v>
      </c>
      <c r="E54" s="69">
        <v>12.0</v>
      </c>
      <c r="F54" s="29" t="s">
        <v>15</v>
      </c>
      <c r="G54" s="31">
        <v>1480.0</v>
      </c>
      <c r="H54" s="2"/>
      <c r="I54" s="2"/>
      <c r="J54" s="2"/>
      <c r="K54" s="2"/>
      <c r="L54" s="2"/>
      <c r="M54" s="2"/>
      <c r="N54" s="2"/>
    </row>
    <row r="55" ht="24.0" hidden="1" customHeight="1">
      <c r="A55" s="2"/>
      <c r="B55" s="2"/>
      <c r="C55" s="2"/>
      <c r="D55" s="3"/>
      <c r="E55" s="4"/>
      <c r="F55" s="5"/>
      <c r="G55" s="33"/>
      <c r="H55" s="2"/>
      <c r="I55" s="2"/>
      <c r="J55" s="2"/>
      <c r="K55" s="2"/>
      <c r="L55" s="2"/>
      <c r="M55" s="2"/>
      <c r="N55" s="2"/>
    </row>
    <row r="56" ht="31.5" hidden="1" customHeight="1">
      <c r="A56" s="166" t="s">
        <v>2468</v>
      </c>
      <c r="B56" s="13"/>
      <c r="C56" s="13"/>
      <c r="D56" s="12"/>
      <c r="E56" s="20"/>
      <c r="F56" s="21"/>
      <c r="G56" s="159"/>
      <c r="H56" s="2"/>
      <c r="I56" s="2"/>
      <c r="J56" s="2"/>
      <c r="K56" s="2"/>
      <c r="L56" s="2"/>
      <c r="M56" s="2"/>
      <c r="N56" s="2"/>
    </row>
    <row r="57" ht="24.0" customHeight="1">
      <c r="A57" s="21" t="s">
        <v>0</v>
      </c>
      <c r="B57" s="21" t="s">
        <v>1</v>
      </c>
      <c r="C57" s="21" t="s">
        <v>2</v>
      </c>
      <c r="D57" s="11" t="s">
        <v>3</v>
      </c>
      <c r="E57" s="11" t="s">
        <v>2307</v>
      </c>
      <c r="F57" s="13"/>
      <c r="G57" s="159" t="s">
        <v>5</v>
      </c>
      <c r="H57" s="2"/>
      <c r="I57" s="2"/>
      <c r="J57" s="2"/>
      <c r="K57" s="2"/>
      <c r="L57" s="2"/>
      <c r="M57" s="2"/>
      <c r="N57" s="2"/>
    </row>
    <row r="58" ht="15.75" customHeight="1">
      <c r="A58" s="53" t="s">
        <v>2469</v>
      </c>
      <c r="B58" s="34" t="s">
        <v>2470</v>
      </c>
      <c r="C58" s="22" t="s">
        <v>2471</v>
      </c>
      <c r="D58" s="52" t="s">
        <v>2472</v>
      </c>
      <c r="E58" s="165">
        <v>18.0</v>
      </c>
      <c r="F58" s="34" t="s">
        <v>15</v>
      </c>
      <c r="G58" s="33">
        <v>7500.0</v>
      </c>
      <c r="H58" s="2"/>
      <c r="I58" s="2"/>
      <c r="J58" s="2"/>
      <c r="K58" s="2"/>
      <c r="L58" s="2"/>
      <c r="M58" s="2"/>
      <c r="N58" s="2"/>
    </row>
    <row r="59" ht="24.0" hidden="1" customHeight="1">
      <c r="A59" s="53" t="s">
        <v>2473</v>
      </c>
      <c r="B59" s="53" t="s">
        <v>2474</v>
      </c>
      <c r="C59" s="27" t="s">
        <v>2475</v>
      </c>
      <c r="D59" s="62" t="s">
        <v>2476</v>
      </c>
      <c r="E59" s="69"/>
      <c r="F59" s="29"/>
      <c r="G59" s="25">
        <v>2000.0</v>
      </c>
      <c r="H59" s="2"/>
      <c r="I59" s="2"/>
      <c r="J59" s="2"/>
      <c r="K59" s="2"/>
      <c r="L59" s="2"/>
      <c r="M59" s="2"/>
      <c r="N59" s="2"/>
    </row>
    <row r="60" ht="24.0" customHeight="1">
      <c r="A60" s="53" t="s">
        <v>2477</v>
      </c>
      <c r="B60" s="53" t="s">
        <v>2478</v>
      </c>
      <c r="C60" s="27" t="s">
        <v>2475</v>
      </c>
      <c r="D60" s="62" t="s">
        <v>2479</v>
      </c>
      <c r="E60" s="69">
        <v>38.0</v>
      </c>
      <c r="F60" s="29" t="s">
        <v>15</v>
      </c>
      <c r="G60" s="25">
        <v>2100.0</v>
      </c>
      <c r="H60" s="2"/>
      <c r="I60" s="2"/>
      <c r="J60" s="2"/>
      <c r="K60" s="2"/>
      <c r="L60" s="2"/>
      <c r="M60" s="2"/>
      <c r="N60" s="2"/>
    </row>
    <row r="61" ht="24.0" customHeight="1">
      <c r="A61" s="53" t="s">
        <v>2480</v>
      </c>
      <c r="B61" s="34" t="s">
        <v>2481</v>
      </c>
      <c r="C61" s="22" t="s">
        <v>2482</v>
      </c>
      <c r="D61" s="52" t="s">
        <v>2483</v>
      </c>
      <c r="E61" s="165">
        <v>51.0</v>
      </c>
      <c r="F61" s="34" t="s">
        <v>15</v>
      </c>
      <c r="G61" s="33">
        <v>2100.0</v>
      </c>
      <c r="H61" s="2"/>
      <c r="I61" s="2"/>
      <c r="J61" s="2"/>
      <c r="K61" s="2"/>
      <c r="L61" s="2"/>
      <c r="M61" s="2"/>
      <c r="N61" s="2"/>
    </row>
    <row r="62" ht="24.0" customHeight="1">
      <c r="A62" s="53" t="s">
        <v>2484</v>
      </c>
      <c r="B62" s="34" t="s">
        <v>2485</v>
      </c>
      <c r="C62" s="22" t="s">
        <v>2482</v>
      </c>
      <c r="D62" s="32" t="s">
        <v>2486</v>
      </c>
      <c r="E62" s="165">
        <v>60.0</v>
      </c>
      <c r="F62" s="34" t="s">
        <v>15</v>
      </c>
      <c r="G62" s="33">
        <v>2000.0</v>
      </c>
      <c r="H62" s="2"/>
      <c r="I62" s="2"/>
      <c r="J62" s="2"/>
      <c r="K62" s="2"/>
      <c r="L62" s="2"/>
      <c r="M62" s="2"/>
      <c r="N62" s="2"/>
    </row>
    <row r="63" ht="24.0" customHeight="1">
      <c r="A63" s="5" t="s">
        <v>2487</v>
      </c>
      <c r="B63" s="5" t="s">
        <v>2488</v>
      </c>
      <c r="C63" s="5" t="s">
        <v>2489</v>
      </c>
      <c r="D63" s="32" t="s">
        <v>2490</v>
      </c>
      <c r="E63" s="4">
        <v>4.0</v>
      </c>
      <c r="F63" s="5" t="s">
        <v>15</v>
      </c>
      <c r="G63" s="25">
        <v>52000.0</v>
      </c>
      <c r="H63" s="2"/>
      <c r="I63" s="2"/>
      <c r="J63" s="2"/>
      <c r="K63" s="2"/>
      <c r="L63" s="2"/>
      <c r="M63" s="2"/>
      <c r="N63" s="2"/>
    </row>
    <row r="64" ht="24.0" customHeight="1">
      <c r="A64" s="27" t="s">
        <v>2491</v>
      </c>
      <c r="B64" s="27" t="s">
        <v>2492</v>
      </c>
      <c r="C64" s="27" t="s">
        <v>2493</v>
      </c>
      <c r="D64" s="32" t="s">
        <v>2494</v>
      </c>
      <c r="E64" s="69">
        <v>10.0</v>
      </c>
      <c r="F64" s="29" t="s">
        <v>15</v>
      </c>
      <c r="G64" s="25">
        <v>3870.0</v>
      </c>
      <c r="H64" s="2"/>
      <c r="I64" s="2"/>
      <c r="J64" s="2"/>
      <c r="K64" s="2"/>
      <c r="L64" s="2"/>
      <c r="M64" s="2"/>
      <c r="N64" s="2"/>
    </row>
    <row r="65" ht="24.0" customHeight="1">
      <c r="A65" s="5" t="s">
        <v>2495</v>
      </c>
      <c r="B65" s="60" t="s">
        <v>2496</v>
      </c>
      <c r="C65" s="27" t="s">
        <v>2497</v>
      </c>
      <c r="D65" s="162" t="s">
        <v>2498</v>
      </c>
      <c r="E65" s="4">
        <v>24.0</v>
      </c>
      <c r="F65" s="5" t="s">
        <v>15</v>
      </c>
      <c r="G65" s="163">
        <v>2600.0</v>
      </c>
      <c r="H65" s="2"/>
      <c r="I65" s="2"/>
      <c r="J65" s="2"/>
      <c r="K65" s="2"/>
      <c r="L65" s="2"/>
      <c r="M65" s="2"/>
      <c r="N65" s="2"/>
    </row>
    <row r="66" ht="24.0" customHeight="1">
      <c r="A66" s="5" t="s">
        <v>2499</v>
      </c>
      <c r="B66" s="60" t="s">
        <v>2500</v>
      </c>
      <c r="C66" s="27" t="s">
        <v>2501</v>
      </c>
      <c r="D66" s="162" t="s">
        <v>2502</v>
      </c>
      <c r="E66" s="4">
        <v>22.0</v>
      </c>
      <c r="F66" s="5" t="s">
        <v>15</v>
      </c>
      <c r="G66" s="163">
        <v>9900.0</v>
      </c>
      <c r="H66" s="2"/>
      <c r="I66" s="2"/>
      <c r="J66" s="2"/>
      <c r="K66" s="2"/>
      <c r="L66" s="2"/>
      <c r="M66" s="2"/>
      <c r="N66" s="2"/>
    </row>
    <row r="67" ht="24.0" hidden="1" customHeight="1">
      <c r="A67" s="27"/>
      <c r="B67" s="27"/>
      <c r="C67" s="27"/>
      <c r="D67" s="32"/>
      <c r="E67" s="69"/>
      <c r="F67" s="29"/>
      <c r="G67" s="25"/>
      <c r="H67" s="2"/>
      <c r="I67" s="2"/>
      <c r="J67" s="2"/>
      <c r="K67" s="2"/>
      <c r="L67" s="2"/>
      <c r="M67" s="2"/>
      <c r="N67" s="2"/>
    </row>
    <row r="68" ht="31.5" hidden="1" customHeight="1">
      <c r="A68" s="166" t="s">
        <v>2503</v>
      </c>
      <c r="B68" s="13"/>
      <c r="C68" s="13"/>
      <c r="D68" s="12"/>
      <c r="E68" s="20"/>
      <c r="F68" s="21"/>
      <c r="G68" s="159"/>
      <c r="H68" s="2"/>
      <c r="I68" s="2"/>
      <c r="J68" s="2"/>
      <c r="K68" s="2"/>
      <c r="L68" s="2"/>
      <c r="M68" s="2"/>
      <c r="N68" s="2"/>
    </row>
    <row r="69" ht="24.0" customHeight="1">
      <c r="A69" s="21" t="s">
        <v>0</v>
      </c>
      <c r="B69" s="21" t="s">
        <v>1</v>
      </c>
      <c r="C69" s="21" t="s">
        <v>2</v>
      </c>
      <c r="D69" s="11" t="s">
        <v>3</v>
      </c>
      <c r="E69" s="11" t="s">
        <v>2307</v>
      </c>
      <c r="F69" s="13"/>
      <c r="G69" s="159" t="s">
        <v>5</v>
      </c>
      <c r="H69" s="2"/>
      <c r="I69" s="2"/>
      <c r="J69" s="2"/>
      <c r="K69" s="2"/>
      <c r="L69" s="2"/>
      <c r="M69" s="2"/>
      <c r="N69" s="2"/>
    </row>
    <row r="70" ht="31.5" hidden="1" customHeight="1">
      <c r="A70" s="5" t="s">
        <v>2504</v>
      </c>
      <c r="B70" s="53" t="s">
        <v>2505</v>
      </c>
      <c r="C70" s="5" t="s">
        <v>2506</v>
      </c>
      <c r="D70" s="32" t="s">
        <v>973</v>
      </c>
      <c r="E70" s="69"/>
      <c r="F70" s="29"/>
      <c r="G70" s="163">
        <v>40990.0</v>
      </c>
      <c r="H70" s="2"/>
      <c r="I70" s="2"/>
      <c r="J70" s="2"/>
      <c r="K70" s="2"/>
      <c r="L70" s="2"/>
      <c r="M70" s="2"/>
      <c r="N70" s="2"/>
    </row>
    <row r="71" ht="24.0" customHeight="1">
      <c r="A71" s="53" t="s">
        <v>2507</v>
      </c>
      <c r="B71" s="53" t="s">
        <v>2508</v>
      </c>
      <c r="C71" s="27" t="s">
        <v>2509</v>
      </c>
      <c r="D71" s="62" t="s">
        <v>2394</v>
      </c>
      <c r="E71" s="69">
        <v>12.0</v>
      </c>
      <c r="F71" s="29" t="s">
        <v>15</v>
      </c>
      <c r="G71" s="25">
        <v>30000.0</v>
      </c>
      <c r="H71" s="2"/>
      <c r="I71" s="2"/>
      <c r="J71" s="2"/>
      <c r="K71" s="2"/>
      <c r="L71" s="2"/>
      <c r="M71" s="2"/>
      <c r="N71" s="2"/>
    </row>
    <row r="72" ht="24.0" customHeight="1">
      <c r="A72" s="53" t="s">
        <v>2510</v>
      </c>
      <c r="B72" s="53" t="s">
        <v>2511</v>
      </c>
      <c r="C72" s="27" t="s">
        <v>2512</v>
      </c>
      <c r="D72" s="62" t="s">
        <v>2513</v>
      </c>
      <c r="E72" s="69">
        <v>9.0</v>
      </c>
      <c r="F72" s="29" t="s">
        <v>15</v>
      </c>
      <c r="G72" s="25">
        <v>26000.0</v>
      </c>
      <c r="H72" s="2"/>
      <c r="I72" s="2"/>
      <c r="J72" s="2"/>
      <c r="K72" s="2"/>
      <c r="L72" s="2"/>
      <c r="M72" s="2"/>
      <c r="N72" s="2"/>
    </row>
    <row r="73" ht="24.0" customHeight="1">
      <c r="A73" s="53" t="s">
        <v>2514</v>
      </c>
      <c r="B73" s="60" t="s">
        <v>2515</v>
      </c>
      <c r="C73" s="22" t="s">
        <v>2516</v>
      </c>
      <c r="D73" s="52" t="s">
        <v>2517</v>
      </c>
      <c r="E73" s="69">
        <v>12.0</v>
      </c>
      <c r="F73" s="29" t="s">
        <v>15</v>
      </c>
      <c r="G73" s="33">
        <v>22000.0</v>
      </c>
      <c r="H73" s="2"/>
      <c r="I73" s="2"/>
      <c r="J73" s="2"/>
      <c r="K73" s="2"/>
      <c r="L73" s="2"/>
      <c r="M73" s="2"/>
      <c r="N73" s="2"/>
    </row>
    <row r="74" ht="15.75" customHeight="1">
      <c r="A74" s="38" t="s">
        <v>2518</v>
      </c>
      <c r="B74" s="38" t="s">
        <v>2519</v>
      </c>
      <c r="C74" s="27" t="s">
        <v>2520</v>
      </c>
      <c r="D74" s="52" t="s">
        <v>2521</v>
      </c>
      <c r="E74" s="69">
        <v>8.0</v>
      </c>
      <c r="F74" s="29" t="s">
        <v>15</v>
      </c>
      <c r="G74" s="25">
        <v>53000.0</v>
      </c>
      <c r="H74" s="2"/>
      <c r="I74" s="2"/>
      <c r="J74" s="2"/>
      <c r="K74" s="2"/>
      <c r="L74" s="2"/>
      <c r="M74" s="2"/>
      <c r="N74" s="2"/>
    </row>
    <row r="75" ht="15.75" customHeight="1">
      <c r="A75" s="38" t="s">
        <v>2522</v>
      </c>
      <c r="B75" s="38" t="s">
        <v>2523</v>
      </c>
      <c r="C75" s="27" t="s">
        <v>2524</v>
      </c>
      <c r="D75" s="52" t="s">
        <v>2525</v>
      </c>
      <c r="E75" s="69">
        <v>4.0</v>
      </c>
      <c r="F75" s="29" t="s">
        <v>15</v>
      </c>
      <c r="G75" s="25">
        <v>23000.0</v>
      </c>
      <c r="H75" s="2"/>
      <c r="I75" s="2"/>
      <c r="J75" s="2"/>
      <c r="K75" s="2"/>
      <c r="L75" s="2"/>
      <c r="M75" s="2"/>
      <c r="N75" s="2"/>
    </row>
    <row r="76" ht="15.75" customHeight="1">
      <c r="A76" s="38" t="s">
        <v>2526</v>
      </c>
      <c r="B76" s="38" t="s">
        <v>2527</v>
      </c>
      <c r="C76" s="22" t="s">
        <v>2524</v>
      </c>
      <c r="D76" s="62" t="s">
        <v>2528</v>
      </c>
      <c r="E76" s="69">
        <v>6.0</v>
      </c>
      <c r="F76" s="29" t="s">
        <v>15</v>
      </c>
      <c r="G76" s="25">
        <v>24000.0</v>
      </c>
      <c r="H76" s="55"/>
      <c r="I76" s="55"/>
      <c r="J76" s="55"/>
      <c r="K76" s="55"/>
      <c r="L76" s="55"/>
      <c r="M76" s="55"/>
      <c r="N76" s="55"/>
    </row>
    <row r="77" ht="24.0" customHeight="1">
      <c r="A77" s="53" t="s">
        <v>2529</v>
      </c>
      <c r="B77" s="53" t="s">
        <v>2530</v>
      </c>
      <c r="C77" s="27" t="s">
        <v>2524</v>
      </c>
      <c r="D77" s="62" t="s">
        <v>2394</v>
      </c>
      <c r="E77" s="69">
        <v>6.0</v>
      </c>
      <c r="F77" s="29" t="s">
        <v>15</v>
      </c>
      <c r="G77" s="25">
        <v>25000.0</v>
      </c>
      <c r="H77" s="2"/>
      <c r="I77" s="2"/>
      <c r="J77" s="2"/>
      <c r="K77" s="2"/>
      <c r="L77" s="2"/>
      <c r="M77" s="2"/>
      <c r="N77" s="2"/>
    </row>
    <row r="78" ht="24.0" customHeight="1">
      <c r="A78" s="53" t="s">
        <v>2531</v>
      </c>
      <c r="B78" s="53" t="s">
        <v>2530</v>
      </c>
      <c r="C78" s="27" t="s">
        <v>2524</v>
      </c>
      <c r="D78" s="62" t="s">
        <v>2394</v>
      </c>
      <c r="E78" s="69">
        <v>6.0</v>
      </c>
      <c r="F78" s="29" t="s">
        <v>15</v>
      </c>
      <c r="G78" s="25">
        <v>25000.0</v>
      </c>
      <c r="H78" s="2"/>
      <c r="I78" s="2"/>
      <c r="J78" s="2"/>
      <c r="K78" s="2"/>
      <c r="L78" s="2"/>
      <c r="M78" s="2"/>
      <c r="N78" s="2"/>
    </row>
    <row r="79" ht="24.0" customHeight="1">
      <c r="A79" s="53" t="s">
        <v>2532</v>
      </c>
      <c r="B79" s="53" t="s">
        <v>2530</v>
      </c>
      <c r="C79" s="27" t="s">
        <v>2524</v>
      </c>
      <c r="D79" s="62" t="s">
        <v>2394</v>
      </c>
      <c r="E79" s="69">
        <v>6.0</v>
      </c>
      <c r="F79" s="29" t="s">
        <v>15</v>
      </c>
      <c r="G79" s="25">
        <v>25000.0</v>
      </c>
      <c r="H79" s="2"/>
      <c r="I79" s="2"/>
      <c r="J79" s="2"/>
      <c r="K79" s="2"/>
      <c r="L79" s="2"/>
      <c r="M79" s="2"/>
      <c r="N79" s="2"/>
    </row>
    <row r="80" ht="24.0" customHeight="1">
      <c r="A80" s="60" t="s">
        <v>2533</v>
      </c>
      <c r="B80" s="60" t="s">
        <v>2534</v>
      </c>
      <c r="C80" s="27" t="s">
        <v>2535</v>
      </c>
      <c r="D80" s="62" t="s">
        <v>2536</v>
      </c>
      <c r="E80" s="69">
        <v>3.0</v>
      </c>
      <c r="F80" s="29" t="s">
        <v>15</v>
      </c>
      <c r="G80" s="25">
        <v>23000.0</v>
      </c>
      <c r="H80" s="2"/>
      <c r="I80" s="2"/>
      <c r="J80" s="2"/>
      <c r="K80" s="2"/>
      <c r="L80" s="2"/>
      <c r="M80" s="2"/>
      <c r="N80" s="2"/>
    </row>
    <row r="81" ht="24.0" customHeight="1">
      <c r="A81" s="60" t="s">
        <v>2537</v>
      </c>
      <c r="B81" s="60" t="s">
        <v>2534</v>
      </c>
      <c r="C81" s="27" t="s">
        <v>2538</v>
      </c>
      <c r="D81" s="62" t="s">
        <v>2536</v>
      </c>
      <c r="E81" s="69">
        <v>6.0</v>
      </c>
      <c r="F81" s="29" t="s">
        <v>15</v>
      </c>
      <c r="G81" s="25">
        <v>23000.0</v>
      </c>
      <c r="H81" s="2"/>
      <c r="I81" s="2"/>
      <c r="J81" s="2"/>
      <c r="K81" s="2"/>
      <c r="L81" s="2"/>
      <c r="M81" s="2"/>
      <c r="N81" s="2"/>
    </row>
    <row r="82" ht="24.0" customHeight="1">
      <c r="A82" s="60" t="s">
        <v>2539</v>
      </c>
      <c r="B82" s="60" t="s">
        <v>2540</v>
      </c>
      <c r="C82" s="27" t="s">
        <v>2541</v>
      </c>
      <c r="D82" s="62" t="s">
        <v>2536</v>
      </c>
      <c r="E82" s="69">
        <v>3.0</v>
      </c>
      <c r="F82" s="29" t="s">
        <v>15</v>
      </c>
      <c r="G82" s="25">
        <v>23000.0</v>
      </c>
      <c r="H82" s="2"/>
      <c r="I82" s="2"/>
      <c r="J82" s="2"/>
      <c r="K82" s="2"/>
      <c r="L82" s="2"/>
      <c r="M82" s="2"/>
      <c r="N82" s="2"/>
    </row>
    <row r="83" ht="24.0" customHeight="1">
      <c r="A83" s="53" t="s">
        <v>2542</v>
      </c>
      <c r="B83" s="60" t="s">
        <v>2543</v>
      </c>
      <c r="C83" s="22" t="s">
        <v>2544</v>
      </c>
      <c r="D83" s="52" t="s">
        <v>2545</v>
      </c>
      <c r="E83" s="69">
        <v>6.0</v>
      </c>
      <c r="F83" s="29" t="s">
        <v>15</v>
      </c>
      <c r="G83" s="33">
        <v>20000.0</v>
      </c>
      <c r="H83" s="2"/>
      <c r="I83" s="2"/>
      <c r="J83" s="2"/>
      <c r="K83" s="2"/>
      <c r="L83" s="2"/>
      <c r="M83" s="2"/>
      <c r="N83" s="2"/>
    </row>
    <row r="84" ht="24.0" customHeight="1">
      <c r="A84" s="53" t="s">
        <v>2546</v>
      </c>
      <c r="B84" s="60" t="s">
        <v>2547</v>
      </c>
      <c r="C84" s="22" t="s">
        <v>2548</v>
      </c>
      <c r="D84" s="52" t="s">
        <v>2545</v>
      </c>
      <c r="E84" s="69">
        <v>5.0</v>
      </c>
      <c r="F84" s="29" t="s">
        <v>15</v>
      </c>
      <c r="G84" s="33">
        <v>20000.0</v>
      </c>
      <c r="H84" s="2"/>
      <c r="I84" s="2"/>
      <c r="J84" s="2"/>
      <c r="K84" s="2"/>
      <c r="L84" s="2"/>
      <c r="M84" s="2"/>
      <c r="N84" s="2"/>
    </row>
    <row r="85" ht="24.0" customHeight="1">
      <c r="A85" s="22" t="s">
        <v>2549</v>
      </c>
      <c r="B85" s="22" t="s">
        <v>2550</v>
      </c>
      <c r="C85" s="27" t="s">
        <v>2551</v>
      </c>
      <c r="D85" s="32" t="s">
        <v>2552</v>
      </c>
      <c r="E85" s="69">
        <v>9.0</v>
      </c>
      <c r="F85" s="29" t="s">
        <v>15</v>
      </c>
      <c r="G85" s="25">
        <v>26000.0</v>
      </c>
      <c r="H85" s="167" t="s">
        <v>2553</v>
      </c>
      <c r="I85" s="2"/>
      <c r="J85" s="2"/>
      <c r="K85" s="2"/>
      <c r="L85" s="2"/>
      <c r="M85" s="2"/>
      <c r="N85" s="2"/>
    </row>
    <row r="86" ht="24.0" customHeight="1">
      <c r="A86" s="53" t="s">
        <v>2554</v>
      </c>
      <c r="B86" s="53" t="s">
        <v>2555</v>
      </c>
      <c r="C86" s="27" t="s">
        <v>2551</v>
      </c>
      <c r="D86" s="62" t="s">
        <v>2556</v>
      </c>
      <c r="E86" s="69">
        <v>5.0</v>
      </c>
      <c r="F86" s="29" t="s">
        <v>15</v>
      </c>
      <c r="G86" s="25">
        <v>24000.0</v>
      </c>
      <c r="H86" s="2"/>
      <c r="I86" s="2"/>
      <c r="J86" s="2"/>
      <c r="K86" s="2"/>
      <c r="L86" s="2"/>
      <c r="M86" s="2"/>
      <c r="N86" s="2"/>
    </row>
    <row r="87" ht="24.0" customHeight="1">
      <c r="A87" s="22" t="s">
        <v>2557</v>
      </c>
      <c r="B87" s="22" t="s">
        <v>2558</v>
      </c>
      <c r="C87" s="27" t="s">
        <v>2559</v>
      </c>
      <c r="D87" s="32" t="s">
        <v>2560</v>
      </c>
      <c r="E87" s="69">
        <v>5.0</v>
      </c>
      <c r="F87" s="29" t="s">
        <v>15</v>
      </c>
      <c r="G87" s="25">
        <v>19200.0</v>
      </c>
      <c r="H87" s="2"/>
      <c r="I87" s="2"/>
      <c r="J87" s="2"/>
      <c r="K87" s="2"/>
      <c r="L87" s="2"/>
      <c r="M87" s="2"/>
      <c r="N87" s="2"/>
    </row>
    <row r="88" ht="15.75" customHeight="1">
      <c r="A88" s="22" t="s">
        <v>2561</v>
      </c>
      <c r="B88" s="22" t="s">
        <v>2562</v>
      </c>
      <c r="C88" s="27" t="s">
        <v>2559</v>
      </c>
      <c r="D88" s="52" t="s">
        <v>2563</v>
      </c>
      <c r="E88" s="69">
        <v>27.0</v>
      </c>
      <c r="F88" s="29" t="s">
        <v>15</v>
      </c>
      <c r="G88" s="25">
        <v>24000.0</v>
      </c>
      <c r="H88" s="2"/>
      <c r="I88" s="2"/>
      <c r="J88" s="2"/>
      <c r="K88" s="2"/>
      <c r="L88" s="2"/>
      <c r="M88" s="2"/>
      <c r="N88" s="2"/>
    </row>
    <row r="89" ht="24.0" customHeight="1">
      <c r="A89" s="53" t="s">
        <v>2564</v>
      </c>
      <c r="B89" s="53" t="s">
        <v>2565</v>
      </c>
      <c r="C89" s="27" t="s">
        <v>2566</v>
      </c>
      <c r="D89" s="62" t="s">
        <v>2567</v>
      </c>
      <c r="E89" s="69">
        <v>12.0</v>
      </c>
      <c r="F89" s="29" t="s">
        <v>15</v>
      </c>
      <c r="G89" s="25">
        <v>19000.0</v>
      </c>
      <c r="H89" s="2"/>
      <c r="I89" s="2"/>
      <c r="J89" s="2"/>
      <c r="K89" s="2"/>
      <c r="L89" s="2"/>
      <c r="M89" s="2"/>
      <c r="N89" s="2"/>
    </row>
    <row r="90" ht="24.0" customHeight="1">
      <c r="A90" s="53" t="s">
        <v>2568</v>
      </c>
      <c r="B90" s="53" t="s">
        <v>2569</v>
      </c>
      <c r="C90" s="27" t="s">
        <v>2570</v>
      </c>
      <c r="D90" s="62" t="s">
        <v>2571</v>
      </c>
      <c r="E90" s="69">
        <v>18.0</v>
      </c>
      <c r="F90" s="29" t="s">
        <v>15</v>
      </c>
      <c r="G90" s="25">
        <v>21200.0</v>
      </c>
      <c r="H90" s="2"/>
      <c r="I90" s="2"/>
      <c r="J90" s="2"/>
      <c r="K90" s="2"/>
      <c r="L90" s="2"/>
      <c r="M90" s="2"/>
      <c r="N90" s="2"/>
    </row>
    <row r="91" ht="24.0" customHeight="1">
      <c r="A91" s="53" t="s">
        <v>2572</v>
      </c>
      <c r="B91" s="60" t="s">
        <v>2573</v>
      </c>
      <c r="C91" s="22" t="s">
        <v>2574</v>
      </c>
      <c r="D91" s="52" t="s">
        <v>2575</v>
      </c>
      <c r="E91" s="69">
        <v>18.0</v>
      </c>
      <c r="F91" s="29" t="s">
        <v>15</v>
      </c>
      <c r="G91" s="33">
        <v>20200.0</v>
      </c>
      <c r="H91" s="2"/>
      <c r="I91" s="2"/>
      <c r="J91" s="2"/>
      <c r="K91" s="2"/>
      <c r="L91" s="2"/>
      <c r="M91" s="2"/>
      <c r="N91" s="2"/>
    </row>
    <row r="92" ht="15.75" customHeight="1">
      <c r="A92" s="22" t="s">
        <v>2576</v>
      </c>
      <c r="B92" s="22" t="s">
        <v>2577</v>
      </c>
      <c r="C92" s="22" t="s">
        <v>2578</v>
      </c>
      <c r="D92" s="52" t="s">
        <v>2579</v>
      </c>
      <c r="E92" s="69">
        <v>10.0</v>
      </c>
      <c r="F92" s="29" t="s">
        <v>15</v>
      </c>
      <c r="G92" s="25">
        <v>26000.0</v>
      </c>
      <c r="H92" s="2"/>
      <c r="I92" s="2"/>
      <c r="J92" s="2"/>
      <c r="K92" s="2"/>
      <c r="L92" s="2"/>
      <c r="M92" s="2"/>
      <c r="N92" s="2"/>
    </row>
    <row r="93" ht="15.75" hidden="1" customHeight="1">
      <c r="A93" s="22" t="s">
        <v>2580</v>
      </c>
      <c r="B93" s="22" t="s">
        <v>2577</v>
      </c>
      <c r="C93" s="22" t="s">
        <v>2578</v>
      </c>
      <c r="D93" s="52" t="s">
        <v>2579</v>
      </c>
      <c r="E93" s="69"/>
      <c r="F93" s="29"/>
      <c r="G93" s="25">
        <v>26000.0</v>
      </c>
      <c r="H93" s="2"/>
      <c r="I93" s="2"/>
      <c r="J93" s="2"/>
      <c r="K93" s="2"/>
      <c r="L93" s="2"/>
      <c r="M93" s="2"/>
      <c r="N93" s="2"/>
    </row>
    <row r="94" ht="24.0" customHeight="1">
      <c r="A94" s="22" t="s">
        <v>2581</v>
      </c>
      <c r="B94" s="22" t="s">
        <v>2582</v>
      </c>
      <c r="C94" s="22" t="s">
        <v>2578</v>
      </c>
      <c r="D94" s="62" t="s">
        <v>2583</v>
      </c>
      <c r="E94" s="69">
        <v>2.0</v>
      </c>
      <c r="F94" s="29" t="s">
        <v>15</v>
      </c>
      <c r="G94" s="25">
        <v>23400.0</v>
      </c>
      <c r="H94" s="2"/>
      <c r="I94" s="2"/>
      <c r="J94" s="2"/>
      <c r="K94" s="2"/>
      <c r="L94" s="2"/>
      <c r="M94" s="2"/>
      <c r="N94" s="2"/>
    </row>
    <row r="95" ht="24.0" customHeight="1">
      <c r="A95" s="22" t="s">
        <v>2584</v>
      </c>
      <c r="B95" s="22" t="s">
        <v>2585</v>
      </c>
      <c r="C95" s="22" t="s">
        <v>2586</v>
      </c>
      <c r="D95" s="62" t="s">
        <v>2587</v>
      </c>
      <c r="E95" s="69">
        <v>3.0</v>
      </c>
      <c r="F95" s="29" t="s">
        <v>15</v>
      </c>
      <c r="G95" s="25">
        <v>23400.0</v>
      </c>
      <c r="H95" s="2"/>
      <c r="I95" s="2"/>
      <c r="J95" s="2"/>
      <c r="K95" s="2"/>
      <c r="L95" s="2"/>
      <c r="M95" s="2"/>
      <c r="N95" s="2"/>
    </row>
    <row r="96" ht="24.0" customHeight="1">
      <c r="A96" s="22" t="s">
        <v>2584</v>
      </c>
      <c r="B96" s="22" t="s">
        <v>2585</v>
      </c>
      <c r="C96" s="22" t="s">
        <v>2578</v>
      </c>
      <c r="D96" s="62" t="s">
        <v>2587</v>
      </c>
      <c r="E96" s="69">
        <v>4.0</v>
      </c>
      <c r="F96" s="29" t="s">
        <v>15</v>
      </c>
      <c r="G96" s="25">
        <v>23400.0</v>
      </c>
      <c r="H96" s="2"/>
      <c r="I96" s="2"/>
      <c r="J96" s="2"/>
      <c r="K96" s="2"/>
      <c r="L96" s="2"/>
      <c r="M96" s="2"/>
      <c r="N96" s="2"/>
    </row>
    <row r="97" ht="24.0" hidden="1" customHeight="1">
      <c r="A97" s="22" t="s">
        <v>2588</v>
      </c>
      <c r="B97" s="22" t="s">
        <v>2589</v>
      </c>
      <c r="C97" s="22" t="s">
        <v>2590</v>
      </c>
      <c r="D97" s="62" t="s">
        <v>2394</v>
      </c>
      <c r="E97" s="69"/>
      <c r="F97" s="29"/>
      <c r="G97" s="25">
        <v>22800.0</v>
      </c>
      <c r="H97" s="2"/>
      <c r="I97" s="2"/>
      <c r="J97" s="2"/>
      <c r="K97" s="2"/>
      <c r="L97" s="2"/>
      <c r="M97" s="2"/>
      <c r="N97" s="2"/>
    </row>
    <row r="98" ht="24.0" hidden="1" customHeight="1">
      <c r="A98" s="22" t="s">
        <v>2591</v>
      </c>
      <c r="B98" s="22" t="s">
        <v>2589</v>
      </c>
      <c r="C98" s="22" t="s">
        <v>2592</v>
      </c>
      <c r="D98" s="62" t="s">
        <v>2394</v>
      </c>
      <c r="E98" s="69"/>
      <c r="F98" s="29"/>
      <c r="G98" s="25">
        <v>22800.0</v>
      </c>
      <c r="H98" s="2"/>
      <c r="I98" s="2"/>
      <c r="J98" s="2"/>
      <c r="K98" s="2"/>
      <c r="L98" s="2"/>
      <c r="M98" s="2"/>
      <c r="N98" s="2"/>
    </row>
    <row r="99" ht="24.0" customHeight="1">
      <c r="A99" s="53" t="s">
        <v>2593</v>
      </c>
      <c r="B99" s="60" t="s">
        <v>2594</v>
      </c>
      <c r="C99" s="22" t="s">
        <v>2595</v>
      </c>
      <c r="D99" s="32" t="s">
        <v>2596</v>
      </c>
      <c r="E99" s="69">
        <v>11.0</v>
      </c>
      <c r="F99" s="29" t="s">
        <v>15</v>
      </c>
      <c r="G99" s="33">
        <v>20600.0</v>
      </c>
      <c r="H99" s="2"/>
      <c r="I99" s="2"/>
      <c r="J99" s="2"/>
      <c r="K99" s="2"/>
      <c r="L99" s="2"/>
      <c r="M99" s="2"/>
      <c r="N99" s="2"/>
    </row>
    <row r="100" ht="24.0" hidden="1" customHeight="1">
      <c r="A100" s="5" t="s">
        <v>2597</v>
      </c>
      <c r="B100" s="22" t="s">
        <v>2598</v>
      </c>
      <c r="C100" s="27" t="s">
        <v>2599</v>
      </c>
      <c r="D100" s="32"/>
      <c r="E100" s="69"/>
      <c r="F100" s="29"/>
      <c r="G100" s="163"/>
      <c r="H100" s="2"/>
      <c r="I100" s="2"/>
      <c r="J100" s="2"/>
      <c r="K100" s="2"/>
      <c r="L100" s="2"/>
      <c r="M100" s="2"/>
      <c r="N100" s="2"/>
    </row>
    <row r="101" ht="24.0" customHeight="1">
      <c r="A101" s="22" t="s">
        <v>2600</v>
      </c>
      <c r="B101" s="22" t="s">
        <v>2601</v>
      </c>
      <c r="C101" s="27" t="s">
        <v>2602</v>
      </c>
      <c r="D101" s="62" t="s">
        <v>2603</v>
      </c>
      <c r="E101" s="69">
        <v>15.0</v>
      </c>
      <c r="F101" s="29" t="s">
        <v>15</v>
      </c>
      <c r="G101" s="25">
        <v>12000.0</v>
      </c>
      <c r="H101" s="2"/>
      <c r="I101" s="2"/>
      <c r="J101" s="2"/>
      <c r="K101" s="2"/>
      <c r="L101" s="2"/>
      <c r="M101" s="2"/>
      <c r="N101" s="2"/>
    </row>
    <row r="102" ht="24.0" hidden="1" customHeight="1">
      <c r="A102" s="22" t="s">
        <v>2604</v>
      </c>
      <c r="B102" s="22" t="s">
        <v>2605</v>
      </c>
      <c r="C102" s="27" t="s">
        <v>2606</v>
      </c>
      <c r="D102" s="62" t="s">
        <v>2607</v>
      </c>
      <c r="E102" s="69"/>
      <c r="F102" s="29"/>
      <c r="G102" s="25">
        <v>8550.0</v>
      </c>
      <c r="H102" s="2"/>
      <c r="I102" s="2"/>
      <c r="J102" s="2"/>
      <c r="K102" s="2"/>
      <c r="L102" s="2"/>
      <c r="M102" s="2"/>
      <c r="N102" s="2"/>
    </row>
    <row r="103" ht="24.0" customHeight="1">
      <c r="A103" s="53" t="s">
        <v>2608</v>
      </c>
      <c r="B103" s="60" t="s">
        <v>2609</v>
      </c>
      <c r="C103" s="22" t="s">
        <v>2602</v>
      </c>
      <c r="D103" s="52" t="s">
        <v>2610</v>
      </c>
      <c r="E103" s="69">
        <v>12.0</v>
      </c>
      <c r="F103" s="29" t="s">
        <v>15</v>
      </c>
      <c r="G103" s="33">
        <v>8100.0</v>
      </c>
      <c r="H103" s="2"/>
      <c r="I103" s="2"/>
      <c r="J103" s="2"/>
      <c r="K103" s="2"/>
      <c r="L103" s="2"/>
      <c r="M103" s="2"/>
      <c r="N103" s="2"/>
    </row>
    <row r="104" ht="24.0" hidden="1" customHeight="1">
      <c r="A104" s="22" t="s">
        <v>2611</v>
      </c>
      <c r="B104" s="27" t="s">
        <v>2612</v>
      </c>
      <c r="C104" s="27" t="s">
        <v>2613</v>
      </c>
      <c r="D104" s="32"/>
      <c r="E104" s="69"/>
      <c r="F104" s="29"/>
      <c r="G104" s="25"/>
      <c r="H104" s="2"/>
      <c r="I104" s="2"/>
      <c r="J104" s="2"/>
      <c r="K104" s="2"/>
      <c r="L104" s="2"/>
      <c r="M104" s="2"/>
      <c r="N104" s="2"/>
    </row>
    <row r="105" ht="24.0" customHeight="1">
      <c r="A105" s="22" t="s">
        <v>2614</v>
      </c>
      <c r="B105" s="27" t="s">
        <v>2612</v>
      </c>
      <c r="C105" s="27" t="s">
        <v>2615</v>
      </c>
      <c r="D105" s="32" t="s">
        <v>2616</v>
      </c>
      <c r="E105" s="69">
        <v>5.0</v>
      </c>
      <c r="F105" s="29" t="s">
        <v>15</v>
      </c>
      <c r="G105" s="25">
        <v>8000.0</v>
      </c>
      <c r="H105" s="2"/>
      <c r="I105" s="2"/>
      <c r="J105" s="2"/>
      <c r="K105" s="2"/>
      <c r="L105" s="2"/>
      <c r="M105" s="2"/>
      <c r="N105" s="2"/>
    </row>
    <row r="106" ht="24.0" customHeight="1">
      <c r="A106" s="22" t="s">
        <v>2617</v>
      </c>
      <c r="B106" s="27" t="s">
        <v>2618</v>
      </c>
      <c r="C106" s="27" t="s">
        <v>2619</v>
      </c>
      <c r="D106" s="32" t="s">
        <v>2620</v>
      </c>
      <c r="E106" s="69">
        <v>30.0</v>
      </c>
      <c r="F106" s="29" t="s">
        <v>15</v>
      </c>
      <c r="G106" s="25">
        <v>8500.0</v>
      </c>
      <c r="H106" s="2"/>
      <c r="I106" s="2"/>
      <c r="J106" s="2"/>
      <c r="K106" s="2"/>
      <c r="L106" s="2"/>
      <c r="M106" s="2"/>
      <c r="N106" s="2"/>
    </row>
    <row r="107" ht="24.0" customHeight="1">
      <c r="A107" s="22" t="s">
        <v>2621</v>
      </c>
      <c r="B107" s="27" t="s">
        <v>2622</v>
      </c>
      <c r="C107" s="27" t="s">
        <v>2623</v>
      </c>
      <c r="D107" s="32" t="s">
        <v>2624</v>
      </c>
      <c r="E107" s="69">
        <v>6.0</v>
      </c>
      <c r="F107" s="29" t="s">
        <v>15</v>
      </c>
      <c r="G107" s="25">
        <v>8500.0</v>
      </c>
      <c r="H107" s="2"/>
      <c r="I107" s="2"/>
      <c r="J107" s="2"/>
      <c r="K107" s="2"/>
      <c r="L107" s="2"/>
      <c r="M107" s="2"/>
      <c r="N107" s="2"/>
    </row>
    <row r="108" ht="24.0" customHeight="1">
      <c r="A108" s="22" t="s">
        <v>2625</v>
      </c>
      <c r="B108" s="27" t="s">
        <v>2626</v>
      </c>
      <c r="C108" s="27" t="s">
        <v>2619</v>
      </c>
      <c r="D108" s="62" t="s">
        <v>2627</v>
      </c>
      <c r="E108" s="69">
        <v>4.0</v>
      </c>
      <c r="F108" s="29" t="s">
        <v>15</v>
      </c>
      <c r="G108" s="25">
        <v>7500.0</v>
      </c>
      <c r="H108" s="2"/>
      <c r="I108" s="2"/>
      <c r="J108" s="2"/>
      <c r="K108" s="2"/>
      <c r="L108" s="2"/>
      <c r="M108" s="2"/>
      <c r="N108" s="2"/>
    </row>
    <row r="109" ht="24.0" customHeight="1">
      <c r="A109" s="22" t="s">
        <v>2628</v>
      </c>
      <c r="B109" s="27" t="s">
        <v>2626</v>
      </c>
      <c r="C109" s="27" t="s">
        <v>2619</v>
      </c>
      <c r="D109" s="62" t="s">
        <v>2627</v>
      </c>
      <c r="E109" s="69">
        <v>6.0</v>
      </c>
      <c r="F109" s="29" t="s">
        <v>15</v>
      </c>
      <c r="G109" s="25">
        <v>7500.0</v>
      </c>
      <c r="H109" s="2"/>
      <c r="I109" s="2"/>
      <c r="J109" s="2"/>
      <c r="K109" s="2"/>
      <c r="L109" s="2"/>
      <c r="M109" s="2"/>
      <c r="N109" s="2"/>
    </row>
    <row r="110" ht="24.0" customHeight="1">
      <c r="A110" s="22" t="s">
        <v>2629</v>
      </c>
      <c r="B110" s="27" t="s">
        <v>2630</v>
      </c>
      <c r="C110" s="27" t="s">
        <v>2631</v>
      </c>
      <c r="D110" s="62" t="s">
        <v>2632</v>
      </c>
      <c r="E110" s="69">
        <v>3.0</v>
      </c>
      <c r="F110" s="29" t="s">
        <v>15</v>
      </c>
      <c r="G110" s="25">
        <v>7200.0</v>
      </c>
      <c r="H110" s="2"/>
      <c r="I110" s="2"/>
      <c r="J110" s="2"/>
      <c r="K110" s="2"/>
      <c r="L110" s="2"/>
      <c r="M110" s="2"/>
      <c r="N110" s="2"/>
    </row>
    <row r="111" ht="24.0" customHeight="1">
      <c r="A111" s="22" t="s">
        <v>2633</v>
      </c>
      <c r="B111" s="27" t="s">
        <v>2630</v>
      </c>
      <c r="C111" s="27" t="s">
        <v>2634</v>
      </c>
      <c r="D111" s="62" t="s">
        <v>2632</v>
      </c>
      <c r="E111" s="69">
        <v>3.0</v>
      </c>
      <c r="F111" s="29" t="s">
        <v>15</v>
      </c>
      <c r="G111" s="25">
        <v>7200.0</v>
      </c>
      <c r="H111" s="2"/>
      <c r="I111" s="2"/>
      <c r="J111" s="2"/>
      <c r="K111" s="2"/>
      <c r="L111" s="2"/>
      <c r="M111" s="2"/>
      <c r="N111" s="2"/>
    </row>
    <row r="112" ht="24.0" customHeight="1">
      <c r="A112" s="53" t="s">
        <v>2635</v>
      </c>
      <c r="B112" s="60" t="s">
        <v>2636</v>
      </c>
      <c r="C112" s="22" t="s">
        <v>2637</v>
      </c>
      <c r="D112" s="52" t="s">
        <v>2638</v>
      </c>
      <c r="E112" s="69">
        <v>6.0</v>
      </c>
      <c r="F112" s="29" t="s">
        <v>15</v>
      </c>
      <c r="G112" s="33">
        <v>6800.0</v>
      </c>
      <c r="H112" s="2"/>
      <c r="I112" s="2"/>
      <c r="J112" s="2"/>
      <c r="K112" s="2"/>
      <c r="L112" s="2"/>
      <c r="M112" s="2"/>
      <c r="N112" s="2"/>
    </row>
    <row r="113" ht="24.0" hidden="1" customHeight="1">
      <c r="A113" s="22" t="s">
        <v>2639</v>
      </c>
      <c r="B113" s="22" t="s">
        <v>2640</v>
      </c>
      <c r="C113" s="27" t="s">
        <v>2641</v>
      </c>
      <c r="D113" s="32"/>
      <c r="E113" s="69"/>
      <c r="F113" s="29"/>
      <c r="G113" s="25"/>
      <c r="H113" s="2"/>
      <c r="I113" s="2"/>
      <c r="J113" s="2"/>
      <c r="K113" s="2"/>
      <c r="L113" s="2"/>
      <c r="M113" s="2"/>
      <c r="N113" s="2"/>
    </row>
    <row r="114" ht="24.0" customHeight="1">
      <c r="A114" s="22" t="s">
        <v>2642</v>
      </c>
      <c r="B114" s="22" t="s">
        <v>2643</v>
      </c>
      <c r="C114" s="27" t="s">
        <v>2644</v>
      </c>
      <c r="D114" s="62" t="s">
        <v>2442</v>
      </c>
      <c r="E114" s="69">
        <v>2.0</v>
      </c>
      <c r="F114" s="29" t="s">
        <v>15</v>
      </c>
      <c r="G114" s="25">
        <v>8000.0</v>
      </c>
      <c r="H114" s="2"/>
      <c r="I114" s="2"/>
      <c r="J114" s="2"/>
      <c r="K114" s="2"/>
      <c r="L114" s="2"/>
      <c r="M114" s="2"/>
      <c r="N114" s="2"/>
    </row>
    <row r="115" ht="24.0" customHeight="1">
      <c r="A115" s="22" t="s">
        <v>2645</v>
      </c>
      <c r="B115" s="22" t="s">
        <v>2643</v>
      </c>
      <c r="C115" s="27" t="s">
        <v>2644</v>
      </c>
      <c r="D115" s="62" t="s">
        <v>2442</v>
      </c>
      <c r="E115" s="69">
        <v>6.0</v>
      </c>
      <c r="F115" s="29" t="s">
        <v>15</v>
      </c>
      <c r="G115" s="25">
        <v>8000.0</v>
      </c>
      <c r="H115" s="2"/>
      <c r="I115" s="2"/>
      <c r="J115" s="2"/>
      <c r="K115" s="2"/>
      <c r="L115" s="2"/>
      <c r="M115" s="2"/>
      <c r="N115" s="2"/>
    </row>
    <row r="116" ht="24.0" customHeight="1">
      <c r="A116" s="22" t="s">
        <v>2646</v>
      </c>
      <c r="B116" s="22" t="s">
        <v>2647</v>
      </c>
      <c r="C116" s="27" t="s">
        <v>2644</v>
      </c>
      <c r="D116" s="62" t="s">
        <v>1128</v>
      </c>
      <c r="E116" s="69">
        <v>5.0</v>
      </c>
      <c r="F116" s="29" t="s">
        <v>15</v>
      </c>
      <c r="G116" s="25">
        <v>8000.0</v>
      </c>
      <c r="H116" s="2"/>
      <c r="I116" s="2"/>
      <c r="J116" s="2"/>
      <c r="K116" s="2"/>
      <c r="L116" s="2"/>
      <c r="M116" s="2"/>
      <c r="N116" s="2"/>
    </row>
    <row r="117" ht="24.0" hidden="1" customHeight="1">
      <c r="A117" s="22" t="s">
        <v>2648</v>
      </c>
      <c r="B117" s="22" t="s">
        <v>2649</v>
      </c>
      <c r="C117" s="27" t="s">
        <v>2650</v>
      </c>
      <c r="D117" s="32" t="s">
        <v>2651</v>
      </c>
      <c r="E117" s="69"/>
      <c r="F117" s="29"/>
      <c r="G117" s="25">
        <v>4800.0</v>
      </c>
      <c r="H117" s="2"/>
      <c r="I117" s="2"/>
      <c r="J117" s="2"/>
      <c r="K117" s="2"/>
      <c r="L117" s="2"/>
      <c r="M117" s="2"/>
      <c r="N117" s="2"/>
    </row>
    <row r="118" ht="24.0" customHeight="1">
      <c r="A118" s="22" t="s">
        <v>2652</v>
      </c>
      <c r="B118" s="22" t="s">
        <v>2653</v>
      </c>
      <c r="C118" s="22" t="s">
        <v>2650</v>
      </c>
      <c r="D118" s="62" t="s">
        <v>2607</v>
      </c>
      <c r="E118" s="69">
        <v>4.0</v>
      </c>
      <c r="F118" s="29" t="s">
        <v>15</v>
      </c>
      <c r="G118" s="25">
        <v>5200.0</v>
      </c>
      <c r="H118" s="55"/>
      <c r="I118" s="55"/>
      <c r="J118" s="55"/>
      <c r="K118" s="55"/>
      <c r="L118" s="55"/>
      <c r="M118" s="55"/>
      <c r="N118" s="55"/>
    </row>
    <row r="119" ht="24.0" customHeight="1">
      <c r="A119" s="22" t="s">
        <v>2654</v>
      </c>
      <c r="B119" s="22" t="s">
        <v>2655</v>
      </c>
      <c r="C119" s="22" t="s">
        <v>2656</v>
      </c>
      <c r="D119" s="62" t="s">
        <v>2657</v>
      </c>
      <c r="E119" s="69">
        <v>16.0</v>
      </c>
      <c r="F119" s="29" t="s">
        <v>15</v>
      </c>
      <c r="G119" s="25">
        <v>5900.0</v>
      </c>
      <c r="H119" s="55"/>
      <c r="I119" s="55"/>
      <c r="J119" s="55"/>
      <c r="K119" s="55"/>
      <c r="L119" s="55"/>
      <c r="M119" s="55"/>
      <c r="N119" s="55"/>
    </row>
    <row r="120" ht="15.75" customHeight="1">
      <c r="A120" s="53" t="s">
        <v>2658</v>
      </c>
      <c r="B120" s="60" t="s">
        <v>2659</v>
      </c>
      <c r="C120" s="22" t="s">
        <v>2660</v>
      </c>
      <c r="D120" s="52" t="s">
        <v>2661</v>
      </c>
      <c r="E120" s="69">
        <v>18.0</v>
      </c>
      <c r="F120" s="29" t="s">
        <v>15</v>
      </c>
      <c r="G120" s="33">
        <v>5400.0</v>
      </c>
      <c r="H120" s="2"/>
      <c r="I120" s="2"/>
      <c r="J120" s="2"/>
      <c r="K120" s="2"/>
      <c r="L120" s="2"/>
      <c r="M120" s="2"/>
      <c r="N120" s="2"/>
    </row>
    <row r="121" ht="24.0" hidden="1" customHeight="1">
      <c r="A121" s="22" t="s">
        <v>2662</v>
      </c>
      <c r="B121" s="22" t="s">
        <v>2663</v>
      </c>
      <c r="C121" s="22" t="s">
        <v>2664</v>
      </c>
      <c r="D121" s="32"/>
      <c r="E121" s="69"/>
      <c r="F121" s="29"/>
      <c r="G121" s="25"/>
      <c r="H121" s="2"/>
      <c r="I121" s="2"/>
      <c r="J121" s="2"/>
      <c r="K121" s="2"/>
      <c r="L121" s="2"/>
      <c r="M121" s="2"/>
      <c r="N121" s="2"/>
    </row>
    <row r="122" ht="24.0" customHeight="1">
      <c r="A122" s="22" t="s">
        <v>2665</v>
      </c>
      <c r="B122" s="22" t="s">
        <v>2666</v>
      </c>
      <c r="C122" s="22" t="s">
        <v>2667</v>
      </c>
      <c r="D122" s="32" t="s">
        <v>2668</v>
      </c>
      <c r="E122" s="69">
        <v>4.0</v>
      </c>
      <c r="F122" s="29" t="s">
        <v>15</v>
      </c>
      <c r="G122" s="25">
        <v>8000.0</v>
      </c>
      <c r="H122" s="2"/>
      <c r="I122" s="2"/>
      <c r="J122" s="2"/>
      <c r="K122" s="2"/>
      <c r="L122" s="2"/>
      <c r="M122" s="2"/>
      <c r="N122" s="2"/>
    </row>
    <row r="123" ht="24.0" customHeight="1">
      <c r="A123" s="53" t="s">
        <v>2669</v>
      </c>
      <c r="B123" s="60" t="s">
        <v>2670</v>
      </c>
      <c r="C123" s="22" t="s">
        <v>2671</v>
      </c>
      <c r="D123" s="32" t="s">
        <v>2672</v>
      </c>
      <c r="E123" s="69">
        <v>12.0</v>
      </c>
      <c r="F123" s="29" t="s">
        <v>15</v>
      </c>
      <c r="G123" s="33">
        <v>7800.0</v>
      </c>
      <c r="H123" s="2"/>
      <c r="I123" s="2"/>
      <c r="J123" s="2"/>
      <c r="K123" s="2"/>
      <c r="L123" s="2"/>
      <c r="M123" s="2"/>
      <c r="N123" s="2"/>
    </row>
    <row r="124" ht="24.0" hidden="1" customHeight="1">
      <c r="A124" s="2"/>
      <c r="B124" s="2"/>
      <c r="C124" s="2"/>
      <c r="D124" s="3"/>
      <c r="E124" s="4"/>
      <c r="F124" s="5"/>
      <c r="G124" s="31"/>
      <c r="H124" s="2"/>
      <c r="I124" s="2"/>
      <c r="J124" s="2"/>
      <c r="K124" s="2"/>
      <c r="L124" s="2"/>
      <c r="M124" s="2"/>
      <c r="N124" s="2"/>
    </row>
    <row r="125" ht="31.5" hidden="1" customHeight="1">
      <c r="A125" s="161" t="s">
        <v>2673</v>
      </c>
      <c r="B125" s="13"/>
      <c r="C125" s="13"/>
      <c r="D125" s="12"/>
      <c r="E125" s="20"/>
      <c r="F125" s="21"/>
      <c r="G125" s="159"/>
      <c r="H125" s="2"/>
      <c r="I125" s="2"/>
      <c r="J125" s="2"/>
      <c r="K125" s="2"/>
      <c r="L125" s="2"/>
      <c r="M125" s="2"/>
      <c r="N125" s="2"/>
    </row>
    <row r="126" ht="24.0" customHeight="1">
      <c r="A126" s="21" t="s">
        <v>0</v>
      </c>
      <c r="B126" s="21" t="s">
        <v>1</v>
      </c>
      <c r="C126" s="21" t="s">
        <v>2</v>
      </c>
      <c r="D126" s="11" t="s">
        <v>3</v>
      </c>
      <c r="E126" s="11" t="s">
        <v>2307</v>
      </c>
      <c r="F126" s="13"/>
      <c r="G126" s="159" t="s">
        <v>5</v>
      </c>
      <c r="H126" s="2"/>
      <c r="I126" s="2"/>
      <c r="J126" s="2"/>
      <c r="K126" s="2"/>
      <c r="L126" s="2"/>
      <c r="M126" s="2"/>
      <c r="N126" s="2"/>
    </row>
    <row r="127" ht="24.0" hidden="1" customHeight="1">
      <c r="A127" s="22" t="s">
        <v>2674</v>
      </c>
      <c r="B127" s="22" t="s">
        <v>2675</v>
      </c>
      <c r="C127" s="27" t="s">
        <v>2676</v>
      </c>
      <c r="D127" s="32" t="s">
        <v>2677</v>
      </c>
      <c r="E127" s="69"/>
      <c r="F127" s="29"/>
      <c r="G127" s="25">
        <v>3800.0</v>
      </c>
      <c r="H127" s="2"/>
      <c r="I127" s="2"/>
      <c r="J127" s="2"/>
      <c r="K127" s="2"/>
      <c r="L127" s="2"/>
      <c r="M127" s="2"/>
      <c r="N127" s="2"/>
    </row>
    <row r="128" ht="24.0" customHeight="1">
      <c r="A128" s="53" t="s">
        <v>2678</v>
      </c>
      <c r="B128" s="60" t="s">
        <v>2679</v>
      </c>
      <c r="C128" s="22" t="s">
        <v>2676</v>
      </c>
      <c r="D128" s="52" t="s">
        <v>2680</v>
      </c>
      <c r="E128" s="69">
        <v>12.0</v>
      </c>
      <c r="F128" s="29" t="s">
        <v>15</v>
      </c>
      <c r="G128" s="33">
        <v>3100.0</v>
      </c>
      <c r="H128" s="2"/>
      <c r="I128" s="2"/>
      <c r="J128" s="2"/>
      <c r="K128" s="2"/>
      <c r="L128" s="2"/>
      <c r="M128" s="2"/>
      <c r="N128" s="2"/>
    </row>
    <row r="129" ht="24.0" hidden="1" customHeight="1">
      <c r="A129" s="22" t="s">
        <v>2681</v>
      </c>
      <c r="B129" s="22" t="s">
        <v>2682</v>
      </c>
      <c r="C129" s="27" t="s">
        <v>2683</v>
      </c>
      <c r="D129" s="32"/>
      <c r="E129" s="69"/>
      <c r="F129" s="29"/>
      <c r="G129" s="25">
        <v>2200.0</v>
      </c>
      <c r="H129" s="2"/>
      <c r="I129" s="2"/>
      <c r="J129" s="2"/>
      <c r="K129" s="2"/>
      <c r="L129" s="2"/>
      <c r="M129" s="2"/>
      <c r="N129" s="2"/>
    </row>
    <row r="130" ht="15.75" hidden="1" customHeight="1">
      <c r="A130" s="22" t="s">
        <v>2684</v>
      </c>
      <c r="B130" s="22" t="s">
        <v>2685</v>
      </c>
      <c r="C130" s="27" t="s">
        <v>2686</v>
      </c>
      <c r="D130" s="52" t="s">
        <v>2687</v>
      </c>
      <c r="E130" s="69"/>
      <c r="F130" s="29"/>
      <c r="G130" s="25">
        <v>2300.0</v>
      </c>
      <c r="H130" s="2"/>
      <c r="I130" s="2"/>
      <c r="J130" s="2"/>
      <c r="K130" s="2"/>
      <c r="L130" s="2"/>
      <c r="M130" s="2"/>
      <c r="N130" s="2"/>
    </row>
    <row r="131" ht="24.0" hidden="1" customHeight="1">
      <c r="A131" s="22" t="s">
        <v>2688</v>
      </c>
      <c r="B131" s="22" t="s">
        <v>2689</v>
      </c>
      <c r="C131" s="27" t="s">
        <v>2686</v>
      </c>
      <c r="D131" s="32" t="s">
        <v>2690</v>
      </c>
      <c r="E131" s="69"/>
      <c r="F131" s="29"/>
      <c r="G131" s="25">
        <v>2200.0</v>
      </c>
      <c r="H131" s="2"/>
      <c r="I131" s="2"/>
      <c r="J131" s="2"/>
      <c r="K131" s="2"/>
      <c r="L131" s="2"/>
      <c r="M131" s="2"/>
      <c r="N131" s="2"/>
    </row>
    <row r="132" ht="24.0" hidden="1" customHeight="1">
      <c r="A132" s="22" t="s">
        <v>2691</v>
      </c>
      <c r="B132" s="60" t="s">
        <v>2692</v>
      </c>
      <c r="C132" s="27" t="s">
        <v>2686</v>
      </c>
      <c r="D132" s="162" t="s">
        <v>1094</v>
      </c>
      <c r="E132" s="69"/>
      <c r="F132" s="29"/>
      <c r="G132" s="25">
        <v>1900.0</v>
      </c>
      <c r="H132" s="2"/>
      <c r="I132" s="2"/>
      <c r="J132" s="2"/>
      <c r="K132" s="2"/>
      <c r="L132" s="2"/>
      <c r="M132" s="2"/>
      <c r="N132" s="2"/>
    </row>
    <row r="133" ht="24.0" hidden="1" customHeight="1">
      <c r="A133" s="22" t="s">
        <v>2693</v>
      </c>
      <c r="B133" s="22" t="s">
        <v>2694</v>
      </c>
      <c r="C133" s="27" t="s">
        <v>2695</v>
      </c>
      <c r="D133" s="32"/>
      <c r="E133" s="69"/>
      <c r="F133" s="29"/>
      <c r="G133" s="25"/>
      <c r="H133" s="2"/>
      <c r="I133" s="2"/>
      <c r="J133" s="2"/>
      <c r="K133" s="2"/>
      <c r="L133" s="2"/>
      <c r="M133" s="2"/>
      <c r="N133" s="2"/>
    </row>
    <row r="134" ht="24.0" customHeight="1">
      <c r="A134" s="22" t="s">
        <v>2696</v>
      </c>
      <c r="B134" s="22" t="s">
        <v>2697</v>
      </c>
      <c r="C134" s="27" t="s">
        <v>2698</v>
      </c>
      <c r="D134" s="32" t="s">
        <v>2699</v>
      </c>
      <c r="E134" s="69">
        <v>7.0</v>
      </c>
      <c r="F134" s="29" t="s">
        <v>15</v>
      </c>
      <c r="G134" s="25">
        <v>7000.0</v>
      </c>
      <c r="H134" s="2"/>
      <c r="I134" s="2"/>
      <c r="J134" s="2"/>
      <c r="K134" s="2"/>
      <c r="L134" s="2"/>
      <c r="M134" s="2"/>
      <c r="N134" s="2"/>
    </row>
    <row r="135" ht="24.0" customHeight="1">
      <c r="A135" s="22" t="s">
        <v>2700</v>
      </c>
      <c r="B135" s="22" t="s">
        <v>2697</v>
      </c>
      <c r="C135" s="27" t="s">
        <v>2698</v>
      </c>
      <c r="D135" s="32" t="s">
        <v>2699</v>
      </c>
      <c r="E135" s="69">
        <v>12.0</v>
      </c>
      <c r="F135" s="29" t="s">
        <v>15</v>
      </c>
      <c r="G135" s="25">
        <v>7000.0</v>
      </c>
      <c r="H135" s="2"/>
      <c r="I135" s="2"/>
      <c r="J135" s="2"/>
      <c r="K135" s="2"/>
      <c r="L135" s="2"/>
      <c r="M135" s="2"/>
      <c r="N135" s="2"/>
    </row>
    <row r="136" ht="24.0" customHeight="1">
      <c r="A136" s="22" t="s">
        <v>2701</v>
      </c>
      <c r="B136" s="22" t="s">
        <v>2697</v>
      </c>
      <c r="C136" s="27" t="s">
        <v>2698</v>
      </c>
      <c r="D136" s="32" t="s">
        <v>2699</v>
      </c>
      <c r="E136" s="69">
        <v>24.0</v>
      </c>
      <c r="F136" s="29" t="s">
        <v>15</v>
      </c>
      <c r="G136" s="25">
        <v>7000.0</v>
      </c>
      <c r="H136" s="2"/>
      <c r="I136" s="2"/>
      <c r="J136" s="2"/>
      <c r="K136" s="2"/>
      <c r="L136" s="2"/>
      <c r="M136" s="2"/>
      <c r="N136" s="2"/>
    </row>
    <row r="137" ht="24.0" customHeight="1">
      <c r="A137" s="22" t="s">
        <v>2702</v>
      </c>
      <c r="B137" s="22" t="s">
        <v>2703</v>
      </c>
      <c r="C137" s="27" t="s">
        <v>2704</v>
      </c>
      <c r="D137" s="32" t="s">
        <v>2705</v>
      </c>
      <c r="E137" s="69">
        <v>18.0</v>
      </c>
      <c r="F137" s="29" t="s">
        <v>15</v>
      </c>
      <c r="G137" s="25">
        <v>9000.0</v>
      </c>
      <c r="H137" s="2"/>
      <c r="I137" s="2"/>
      <c r="J137" s="2"/>
      <c r="K137" s="2"/>
      <c r="L137" s="2"/>
      <c r="M137" s="2"/>
      <c r="N137" s="2"/>
    </row>
    <row r="138" ht="24.0" customHeight="1">
      <c r="A138" s="22" t="s">
        <v>2706</v>
      </c>
      <c r="B138" s="22" t="s">
        <v>2703</v>
      </c>
      <c r="C138" s="27" t="s">
        <v>2707</v>
      </c>
      <c r="D138" s="32" t="s">
        <v>2705</v>
      </c>
      <c r="E138" s="69">
        <v>12.0</v>
      </c>
      <c r="F138" s="29" t="s">
        <v>15</v>
      </c>
      <c r="G138" s="25">
        <v>9000.0</v>
      </c>
      <c r="H138" s="2"/>
      <c r="I138" s="2"/>
      <c r="J138" s="2"/>
      <c r="K138" s="2"/>
      <c r="L138" s="2"/>
      <c r="M138" s="2"/>
      <c r="N138" s="2"/>
    </row>
    <row r="139" ht="24.0" customHeight="1">
      <c r="A139" s="53" t="s">
        <v>2708</v>
      </c>
      <c r="B139" s="60" t="s">
        <v>2709</v>
      </c>
      <c r="C139" s="22" t="s">
        <v>2698</v>
      </c>
      <c r="D139" s="32" t="s">
        <v>2710</v>
      </c>
      <c r="E139" s="165">
        <v>12.0</v>
      </c>
      <c r="F139" s="34" t="s">
        <v>15</v>
      </c>
      <c r="G139" s="33">
        <v>7900.0</v>
      </c>
      <c r="H139" s="2"/>
      <c r="I139" s="2"/>
      <c r="J139" s="2"/>
      <c r="K139" s="2"/>
      <c r="L139" s="2"/>
      <c r="M139" s="2"/>
      <c r="N139" s="2"/>
    </row>
    <row r="140" ht="24.0" customHeight="1">
      <c r="A140" s="53" t="s">
        <v>2711</v>
      </c>
      <c r="B140" s="60" t="s">
        <v>2712</v>
      </c>
      <c r="C140" s="22" t="s">
        <v>2698</v>
      </c>
      <c r="D140" s="32" t="s">
        <v>2710</v>
      </c>
      <c r="E140" s="69">
        <v>12.0</v>
      </c>
      <c r="F140" s="29" t="s">
        <v>15</v>
      </c>
      <c r="G140" s="33">
        <v>7900.0</v>
      </c>
      <c r="H140" s="2"/>
      <c r="I140" s="2"/>
      <c r="J140" s="2"/>
      <c r="K140" s="2"/>
      <c r="L140" s="2"/>
      <c r="M140" s="2"/>
      <c r="N140" s="2"/>
    </row>
    <row r="141" ht="24.0" customHeight="1">
      <c r="A141" s="53" t="s">
        <v>2713</v>
      </c>
      <c r="B141" s="60" t="s">
        <v>2714</v>
      </c>
      <c r="C141" s="22" t="s">
        <v>2698</v>
      </c>
      <c r="D141" s="32" t="s">
        <v>2710</v>
      </c>
      <c r="E141" s="69">
        <v>24.0</v>
      </c>
      <c r="F141" s="29" t="s">
        <v>15</v>
      </c>
      <c r="G141" s="33">
        <v>7900.0</v>
      </c>
      <c r="H141" s="2"/>
      <c r="I141" s="2"/>
      <c r="J141" s="2"/>
      <c r="K141" s="2"/>
      <c r="L141" s="2"/>
      <c r="M141" s="2"/>
      <c r="N141" s="2"/>
    </row>
    <row r="142" ht="24.0" hidden="1" customHeight="1">
      <c r="A142" s="22" t="s">
        <v>2715</v>
      </c>
      <c r="B142" s="22" t="s">
        <v>2716</v>
      </c>
      <c r="C142" s="27" t="s">
        <v>2717</v>
      </c>
      <c r="D142" s="32" t="s">
        <v>2718</v>
      </c>
      <c r="E142" s="69"/>
      <c r="F142" s="29"/>
      <c r="G142" s="25">
        <v>3850.0</v>
      </c>
      <c r="H142" s="2"/>
      <c r="I142" s="2"/>
      <c r="J142" s="2"/>
      <c r="K142" s="2"/>
      <c r="L142" s="2"/>
      <c r="M142" s="2"/>
      <c r="N142" s="2"/>
    </row>
    <row r="143" ht="24.0" hidden="1" customHeight="1">
      <c r="A143" s="22" t="s">
        <v>2719</v>
      </c>
      <c r="B143" s="22" t="s">
        <v>2716</v>
      </c>
      <c r="C143" s="27" t="s">
        <v>2720</v>
      </c>
      <c r="D143" s="32" t="s">
        <v>2718</v>
      </c>
      <c r="E143" s="69"/>
      <c r="F143" s="29"/>
      <c r="G143" s="25">
        <v>3850.0</v>
      </c>
      <c r="H143" s="2"/>
      <c r="I143" s="2"/>
      <c r="J143" s="2"/>
      <c r="K143" s="2"/>
      <c r="L143" s="2"/>
      <c r="M143" s="2"/>
      <c r="N143" s="2"/>
    </row>
    <row r="144" ht="24.0" hidden="1" customHeight="1">
      <c r="A144" s="22" t="s">
        <v>2721</v>
      </c>
      <c r="B144" s="22" t="s">
        <v>2722</v>
      </c>
      <c r="C144" s="27" t="s">
        <v>2723</v>
      </c>
      <c r="D144" s="32" t="s">
        <v>2724</v>
      </c>
      <c r="E144" s="69"/>
      <c r="F144" s="29"/>
      <c r="G144" s="25">
        <v>5880.0</v>
      </c>
      <c r="H144" s="2"/>
      <c r="I144" s="2"/>
      <c r="J144" s="2"/>
      <c r="K144" s="2"/>
      <c r="L144" s="2"/>
      <c r="M144" s="2"/>
      <c r="N144" s="2"/>
    </row>
    <row r="145" ht="24.0" hidden="1" customHeight="1">
      <c r="A145" s="22" t="s">
        <v>2725</v>
      </c>
      <c r="B145" s="22" t="s">
        <v>2726</v>
      </c>
      <c r="C145" s="27" t="s">
        <v>2727</v>
      </c>
      <c r="D145" s="32" t="s">
        <v>2728</v>
      </c>
      <c r="E145" s="69"/>
      <c r="F145" s="29"/>
      <c r="G145" s="25">
        <v>2080.0</v>
      </c>
      <c r="H145" s="2"/>
      <c r="I145" s="2"/>
      <c r="J145" s="2"/>
      <c r="K145" s="2"/>
      <c r="L145" s="2"/>
      <c r="M145" s="2"/>
      <c r="N145" s="2"/>
    </row>
    <row r="146" ht="24.0" hidden="1" customHeight="1">
      <c r="A146" s="22" t="s">
        <v>2729</v>
      </c>
      <c r="B146" s="60" t="s">
        <v>2730</v>
      </c>
      <c r="C146" s="27" t="s">
        <v>2727</v>
      </c>
      <c r="D146" s="162" t="s">
        <v>2442</v>
      </c>
      <c r="E146" s="69"/>
      <c r="F146" s="29"/>
      <c r="G146" s="25">
        <v>2800.0</v>
      </c>
      <c r="H146" s="2"/>
      <c r="I146" s="2"/>
      <c r="J146" s="2"/>
      <c r="K146" s="2"/>
      <c r="L146" s="2"/>
      <c r="M146" s="2"/>
      <c r="N146" s="2"/>
    </row>
    <row r="147" ht="24.0" hidden="1" customHeight="1">
      <c r="A147" s="22" t="s">
        <v>2731</v>
      </c>
      <c r="B147" s="22" t="s">
        <v>2732</v>
      </c>
      <c r="C147" s="27" t="s">
        <v>2733</v>
      </c>
      <c r="D147" s="32" t="s">
        <v>2734</v>
      </c>
      <c r="E147" s="69"/>
      <c r="F147" s="29"/>
      <c r="G147" s="25">
        <v>2800.0</v>
      </c>
      <c r="H147" s="2"/>
      <c r="I147" s="2"/>
      <c r="J147" s="2"/>
      <c r="K147" s="2"/>
      <c r="L147" s="2"/>
      <c r="M147" s="2"/>
      <c r="N147" s="2"/>
    </row>
    <row r="148" ht="24.0" hidden="1" customHeight="1">
      <c r="A148" s="22" t="s">
        <v>2735</v>
      </c>
      <c r="B148" s="22" t="s">
        <v>2736</v>
      </c>
      <c r="C148" s="27" t="s">
        <v>2737</v>
      </c>
      <c r="D148" s="32" t="s">
        <v>2738</v>
      </c>
      <c r="E148" s="69"/>
      <c r="F148" s="29"/>
      <c r="G148" s="25">
        <v>3000.0</v>
      </c>
      <c r="H148" s="168"/>
      <c r="I148" s="168"/>
      <c r="J148" s="168"/>
      <c r="K148" s="168"/>
      <c r="L148" s="168"/>
      <c r="M148" s="168"/>
      <c r="N148" s="168"/>
    </row>
    <row r="149" ht="24.0" hidden="1" customHeight="1">
      <c r="A149" s="22" t="s">
        <v>2739</v>
      </c>
      <c r="B149" s="60" t="s">
        <v>2740</v>
      </c>
      <c r="C149" s="27" t="s">
        <v>2741</v>
      </c>
      <c r="D149" s="162" t="s">
        <v>2742</v>
      </c>
      <c r="E149" s="69"/>
      <c r="F149" s="29"/>
      <c r="G149" s="25">
        <v>2600.0</v>
      </c>
      <c r="H149" s="168"/>
      <c r="I149" s="168"/>
      <c r="J149" s="168"/>
      <c r="K149" s="168"/>
      <c r="L149" s="168"/>
      <c r="M149" s="168"/>
      <c r="N149" s="168"/>
    </row>
    <row r="150" ht="24.0" customHeight="1">
      <c r="A150" s="53" t="s">
        <v>2743</v>
      </c>
      <c r="B150" s="60" t="s">
        <v>2744</v>
      </c>
      <c r="C150" s="22" t="s">
        <v>2745</v>
      </c>
      <c r="D150" s="32" t="s">
        <v>1128</v>
      </c>
      <c r="E150" s="69">
        <v>11.0</v>
      </c>
      <c r="F150" s="29" t="s">
        <v>15</v>
      </c>
      <c r="G150" s="33">
        <v>2700.0</v>
      </c>
      <c r="H150" s="2"/>
      <c r="I150" s="2"/>
      <c r="J150" s="2"/>
      <c r="K150" s="2"/>
      <c r="L150" s="2"/>
      <c r="M150" s="2"/>
      <c r="N150" s="2"/>
    </row>
    <row r="151" ht="24.0" customHeight="1">
      <c r="A151" s="53" t="s">
        <v>2746</v>
      </c>
      <c r="B151" s="164" t="s">
        <v>2747</v>
      </c>
      <c r="C151" s="22" t="s">
        <v>2745</v>
      </c>
      <c r="D151" s="32" t="s">
        <v>1128</v>
      </c>
      <c r="E151" s="69">
        <v>36.0</v>
      </c>
      <c r="F151" s="29" t="s">
        <v>15</v>
      </c>
      <c r="G151" s="33">
        <v>2700.0</v>
      </c>
      <c r="H151" s="2"/>
      <c r="I151" s="2"/>
      <c r="J151" s="2"/>
      <c r="K151" s="2"/>
      <c r="L151" s="2"/>
      <c r="M151" s="2"/>
      <c r="N151" s="2"/>
    </row>
    <row r="152" ht="24.0" customHeight="1">
      <c r="A152" s="27" t="s">
        <v>2748</v>
      </c>
      <c r="B152" s="27" t="s">
        <v>2749</v>
      </c>
      <c r="C152" s="5" t="s">
        <v>2750</v>
      </c>
      <c r="D152" s="62" t="s">
        <v>2751</v>
      </c>
      <c r="E152" s="69">
        <v>12.0</v>
      </c>
      <c r="F152" s="29" t="s">
        <v>15</v>
      </c>
      <c r="G152" s="25">
        <v>5800.0</v>
      </c>
      <c r="H152" s="2"/>
      <c r="I152" s="2"/>
      <c r="J152" s="2"/>
      <c r="K152" s="2"/>
      <c r="L152" s="2"/>
      <c r="M152" s="2"/>
      <c r="N152" s="2"/>
    </row>
    <row r="153" ht="24.0" hidden="1" customHeight="1">
      <c r="A153" s="27" t="s">
        <v>2752</v>
      </c>
      <c r="B153" s="60" t="s">
        <v>2753</v>
      </c>
      <c r="C153" s="27" t="s">
        <v>2750</v>
      </c>
      <c r="D153" s="162" t="s">
        <v>2754</v>
      </c>
      <c r="E153" s="69"/>
      <c r="F153" s="29"/>
      <c r="G153" s="25">
        <v>6600.0</v>
      </c>
      <c r="H153" s="2"/>
      <c r="I153" s="2"/>
      <c r="J153" s="2"/>
      <c r="K153" s="2"/>
      <c r="L153" s="2"/>
      <c r="M153" s="2"/>
      <c r="N153" s="2"/>
    </row>
    <row r="154" ht="24.0" customHeight="1">
      <c r="A154" s="27" t="s">
        <v>2755</v>
      </c>
      <c r="B154" s="60" t="s">
        <v>2753</v>
      </c>
      <c r="C154" s="27" t="s">
        <v>2750</v>
      </c>
      <c r="D154" s="162" t="s">
        <v>2754</v>
      </c>
      <c r="E154" s="69">
        <v>6.0</v>
      </c>
      <c r="F154" s="29" t="s">
        <v>15</v>
      </c>
      <c r="G154" s="25">
        <v>5800.0</v>
      </c>
      <c r="H154" s="2"/>
      <c r="I154" s="2"/>
      <c r="J154" s="2"/>
      <c r="K154" s="2"/>
      <c r="L154" s="2"/>
      <c r="M154" s="2"/>
      <c r="N154" s="2"/>
    </row>
    <row r="155" ht="15.75" customHeight="1">
      <c r="A155" s="53" t="s">
        <v>2756</v>
      </c>
      <c r="B155" s="60" t="s">
        <v>2757</v>
      </c>
      <c r="C155" s="22" t="s">
        <v>2750</v>
      </c>
      <c r="D155" s="52" t="s">
        <v>2758</v>
      </c>
      <c r="E155" s="69">
        <v>6.0</v>
      </c>
      <c r="F155" s="29" t="s">
        <v>15</v>
      </c>
      <c r="G155" s="33">
        <v>5100.0</v>
      </c>
      <c r="H155" s="2"/>
      <c r="I155" s="2"/>
      <c r="J155" s="2"/>
      <c r="K155" s="2"/>
      <c r="L155" s="2"/>
      <c r="M155" s="2"/>
      <c r="N155" s="2"/>
    </row>
    <row r="156" ht="24.0" customHeight="1">
      <c r="A156" s="27" t="s">
        <v>2759</v>
      </c>
      <c r="B156" s="27" t="s">
        <v>2760</v>
      </c>
      <c r="C156" s="5" t="s">
        <v>2761</v>
      </c>
      <c r="D156" s="62" t="s">
        <v>2762</v>
      </c>
      <c r="E156" s="69">
        <v>18.0</v>
      </c>
      <c r="F156" s="29" t="s">
        <v>15</v>
      </c>
      <c r="G156" s="25">
        <v>6800.0</v>
      </c>
      <c r="H156" s="2"/>
      <c r="I156" s="2"/>
      <c r="J156" s="2"/>
      <c r="K156" s="2"/>
      <c r="L156" s="2"/>
      <c r="M156" s="2"/>
      <c r="N156" s="2"/>
    </row>
    <row r="157" ht="24.0" customHeight="1">
      <c r="A157" s="27" t="s">
        <v>2763</v>
      </c>
      <c r="B157" s="60" t="s">
        <v>2764</v>
      </c>
      <c r="C157" s="27" t="s">
        <v>2761</v>
      </c>
      <c r="D157" s="162" t="s">
        <v>2404</v>
      </c>
      <c r="E157" s="69">
        <v>18.0</v>
      </c>
      <c r="F157" s="29" t="s">
        <v>15</v>
      </c>
      <c r="G157" s="25">
        <v>6800.0</v>
      </c>
      <c r="H157" s="2"/>
      <c r="I157" s="2"/>
      <c r="J157" s="2"/>
      <c r="K157" s="2"/>
      <c r="L157" s="2"/>
      <c r="M157" s="2"/>
      <c r="N157" s="2"/>
    </row>
    <row r="158" ht="24.0" customHeight="1">
      <c r="A158" s="169" t="s">
        <v>2765</v>
      </c>
      <c r="B158" s="169" t="s">
        <v>2766</v>
      </c>
      <c r="C158" s="169" t="s">
        <v>2767</v>
      </c>
      <c r="D158" s="170" t="s">
        <v>2768</v>
      </c>
      <c r="E158" s="171">
        <v>2.0</v>
      </c>
      <c r="F158" s="172" t="s">
        <v>15</v>
      </c>
      <c r="G158" s="173"/>
      <c r="H158" s="174"/>
      <c r="I158" s="174"/>
      <c r="J158" s="174"/>
      <c r="K158" s="174"/>
      <c r="L158" s="174"/>
      <c r="M158" s="174"/>
      <c r="N158" s="174"/>
    </row>
    <row r="159" ht="24.0" customHeight="1">
      <c r="A159" s="169" t="s">
        <v>2769</v>
      </c>
      <c r="B159" s="169" t="s">
        <v>2770</v>
      </c>
      <c r="C159" s="169" t="s">
        <v>2767</v>
      </c>
      <c r="D159" s="170" t="s">
        <v>2768</v>
      </c>
      <c r="E159" s="171">
        <v>6.0</v>
      </c>
      <c r="F159" s="172" t="s">
        <v>15</v>
      </c>
      <c r="G159" s="173"/>
      <c r="H159" s="174"/>
      <c r="I159" s="174"/>
      <c r="J159" s="174"/>
      <c r="K159" s="174"/>
      <c r="L159" s="174"/>
      <c r="M159" s="174"/>
      <c r="N159" s="174"/>
    </row>
    <row r="160" ht="24.0" hidden="1" customHeight="1">
      <c r="A160" s="27" t="s">
        <v>2771</v>
      </c>
      <c r="B160" s="27" t="s">
        <v>2772</v>
      </c>
      <c r="C160" s="27" t="s">
        <v>2773</v>
      </c>
      <c r="D160" s="32"/>
      <c r="E160" s="69"/>
      <c r="F160" s="29"/>
      <c r="G160" s="25">
        <v>30000.0</v>
      </c>
      <c r="H160" s="2"/>
      <c r="I160" s="2"/>
      <c r="J160" s="2"/>
      <c r="K160" s="2"/>
      <c r="L160" s="2"/>
      <c r="M160" s="2"/>
      <c r="N160" s="2"/>
    </row>
    <row r="161" ht="24.0" hidden="1" customHeight="1">
      <c r="A161" s="27" t="s">
        <v>2774</v>
      </c>
      <c r="B161" s="27" t="s">
        <v>2775</v>
      </c>
      <c r="C161" s="27" t="s">
        <v>2776</v>
      </c>
      <c r="D161" s="32"/>
      <c r="E161" s="69"/>
      <c r="F161" s="29"/>
      <c r="G161" s="25">
        <v>8000.0</v>
      </c>
      <c r="H161" s="2"/>
      <c r="I161" s="2"/>
      <c r="J161" s="2"/>
      <c r="K161" s="2"/>
      <c r="L161" s="2"/>
      <c r="M161" s="2"/>
      <c r="N161" s="2"/>
    </row>
    <row r="162" ht="24.0" hidden="1" customHeight="1">
      <c r="A162" s="27" t="s">
        <v>2777</v>
      </c>
      <c r="B162" s="27" t="s">
        <v>2778</v>
      </c>
      <c r="C162" s="27" t="s">
        <v>2779</v>
      </c>
      <c r="D162" s="32" t="s">
        <v>2780</v>
      </c>
      <c r="E162" s="69"/>
      <c r="F162" s="29"/>
      <c r="G162" s="25">
        <v>7000.0</v>
      </c>
      <c r="H162" s="2"/>
      <c r="I162" s="2"/>
      <c r="J162" s="2"/>
      <c r="K162" s="2"/>
      <c r="L162" s="2"/>
      <c r="M162" s="2"/>
      <c r="N162" s="2"/>
    </row>
    <row r="163" ht="15.75" customHeight="1">
      <c r="A163" s="27" t="s">
        <v>2781</v>
      </c>
      <c r="B163" s="27" t="s">
        <v>2782</v>
      </c>
      <c r="C163" s="27" t="s">
        <v>2783</v>
      </c>
      <c r="D163" s="52" t="s">
        <v>2784</v>
      </c>
      <c r="E163" s="69">
        <v>4.0</v>
      </c>
      <c r="F163" s="29" t="s">
        <v>15</v>
      </c>
      <c r="G163" s="25">
        <v>7700.0</v>
      </c>
      <c r="H163" s="2"/>
      <c r="I163" s="2"/>
      <c r="J163" s="2"/>
      <c r="K163" s="2"/>
      <c r="L163" s="2"/>
      <c r="M163" s="2"/>
      <c r="N163" s="2"/>
    </row>
    <row r="164" ht="15.75" customHeight="1">
      <c r="A164" s="27" t="s">
        <v>2785</v>
      </c>
      <c r="B164" s="27" t="s">
        <v>2782</v>
      </c>
      <c r="C164" s="27" t="s">
        <v>2786</v>
      </c>
      <c r="D164" s="52" t="s">
        <v>2784</v>
      </c>
      <c r="E164" s="69">
        <v>24.0</v>
      </c>
      <c r="F164" s="29" t="s">
        <v>15</v>
      </c>
      <c r="G164" s="25">
        <v>7700.0</v>
      </c>
      <c r="H164" s="2"/>
      <c r="I164" s="2"/>
      <c r="J164" s="2"/>
      <c r="K164" s="2"/>
      <c r="L164" s="2"/>
      <c r="M164" s="2"/>
      <c r="N164" s="2"/>
    </row>
    <row r="165" ht="15.75" hidden="1" customHeight="1">
      <c r="A165" s="27" t="s">
        <v>2787</v>
      </c>
      <c r="B165" s="27" t="s">
        <v>2782</v>
      </c>
      <c r="C165" s="27" t="s">
        <v>2788</v>
      </c>
      <c r="D165" s="52" t="s">
        <v>2784</v>
      </c>
      <c r="E165" s="69"/>
      <c r="F165" s="29"/>
      <c r="G165" s="25">
        <v>8600.0</v>
      </c>
      <c r="H165" s="2"/>
      <c r="I165" s="2"/>
      <c r="J165" s="2"/>
      <c r="K165" s="2"/>
      <c r="L165" s="2"/>
      <c r="M165" s="2"/>
      <c r="N165" s="2"/>
    </row>
    <row r="166" ht="24.0" customHeight="1">
      <c r="A166" s="27" t="s">
        <v>2789</v>
      </c>
      <c r="B166" s="27" t="s">
        <v>2790</v>
      </c>
      <c r="C166" s="27" t="s">
        <v>2791</v>
      </c>
      <c r="D166" s="32" t="s">
        <v>2751</v>
      </c>
      <c r="E166" s="69">
        <v>9.0</v>
      </c>
      <c r="F166" s="29" t="s">
        <v>15</v>
      </c>
      <c r="G166" s="25">
        <v>5500.0</v>
      </c>
      <c r="H166" s="2"/>
      <c r="I166" s="2"/>
      <c r="J166" s="2"/>
      <c r="K166" s="2"/>
      <c r="L166" s="2"/>
      <c r="M166" s="2"/>
      <c r="N166" s="2"/>
    </row>
    <row r="167" ht="24.0" customHeight="1">
      <c r="A167" s="27" t="s">
        <v>2792</v>
      </c>
      <c r="B167" s="27" t="s">
        <v>2790</v>
      </c>
      <c r="C167" s="27" t="s">
        <v>2791</v>
      </c>
      <c r="D167" s="32" t="s">
        <v>2751</v>
      </c>
      <c r="E167" s="69">
        <v>48.0</v>
      </c>
      <c r="F167" s="29" t="s">
        <v>15</v>
      </c>
      <c r="G167" s="25">
        <v>5500.0</v>
      </c>
      <c r="H167" s="2"/>
      <c r="I167" s="2"/>
      <c r="J167" s="2"/>
      <c r="K167" s="2"/>
      <c r="L167" s="2"/>
      <c r="M167" s="2"/>
      <c r="N167" s="2"/>
    </row>
    <row r="168" ht="15.75" customHeight="1">
      <c r="A168" s="27" t="s">
        <v>2793</v>
      </c>
      <c r="B168" s="27" t="s">
        <v>2794</v>
      </c>
      <c r="C168" s="27" t="s">
        <v>2795</v>
      </c>
      <c r="D168" s="52" t="s">
        <v>2796</v>
      </c>
      <c r="E168" s="69">
        <v>4.0</v>
      </c>
      <c r="F168" s="29" t="s">
        <v>15</v>
      </c>
      <c r="G168" s="25">
        <v>6750.0</v>
      </c>
      <c r="H168" s="2"/>
      <c r="I168" s="2"/>
      <c r="J168" s="2"/>
      <c r="K168" s="2"/>
      <c r="L168" s="2"/>
      <c r="M168" s="2"/>
      <c r="N168" s="2"/>
    </row>
    <row r="169" ht="15.75" customHeight="1">
      <c r="A169" s="27" t="s">
        <v>2797</v>
      </c>
      <c r="B169" s="27" t="s">
        <v>2794</v>
      </c>
      <c r="C169" s="27" t="s">
        <v>2798</v>
      </c>
      <c r="D169" s="52" t="s">
        <v>2796</v>
      </c>
      <c r="E169" s="69">
        <v>72.0</v>
      </c>
      <c r="F169" s="29" t="s">
        <v>15</v>
      </c>
      <c r="G169" s="25">
        <v>6750.0</v>
      </c>
      <c r="H169" s="2"/>
      <c r="I169" s="2"/>
      <c r="J169" s="2"/>
      <c r="K169" s="2"/>
      <c r="L169" s="2"/>
      <c r="M169" s="2"/>
      <c r="N169" s="2"/>
    </row>
    <row r="170" ht="15.75" customHeight="1">
      <c r="A170" s="27" t="s">
        <v>2799</v>
      </c>
      <c r="B170" s="27" t="s">
        <v>2794</v>
      </c>
      <c r="C170" s="27" t="s">
        <v>2800</v>
      </c>
      <c r="D170" s="52" t="s">
        <v>2796</v>
      </c>
      <c r="E170" s="69">
        <v>6.0</v>
      </c>
      <c r="F170" s="29" t="s">
        <v>15</v>
      </c>
      <c r="G170" s="25">
        <v>6750.0</v>
      </c>
      <c r="H170" s="2"/>
      <c r="I170" s="2"/>
      <c r="J170" s="2"/>
      <c r="K170" s="2"/>
      <c r="L170" s="2"/>
      <c r="M170" s="2"/>
      <c r="N170" s="2"/>
    </row>
    <row r="171" ht="24.0" customHeight="1">
      <c r="A171" s="53" t="s">
        <v>2801</v>
      </c>
      <c r="B171" s="164" t="s">
        <v>2802</v>
      </c>
      <c r="C171" s="22" t="s">
        <v>2791</v>
      </c>
      <c r="D171" s="52" t="s">
        <v>2803</v>
      </c>
      <c r="E171" s="69">
        <v>12.0</v>
      </c>
      <c r="F171" s="29" t="s">
        <v>15</v>
      </c>
      <c r="G171" s="33">
        <v>6200.0</v>
      </c>
      <c r="H171" s="2"/>
      <c r="I171" s="2"/>
      <c r="J171" s="2"/>
      <c r="K171" s="2"/>
      <c r="L171" s="2"/>
      <c r="M171" s="2"/>
      <c r="N171" s="2"/>
    </row>
    <row r="172" ht="24.0" customHeight="1">
      <c r="A172" s="53" t="s">
        <v>2804</v>
      </c>
      <c r="B172" s="60" t="s">
        <v>2805</v>
      </c>
      <c r="C172" s="22" t="s">
        <v>2791</v>
      </c>
      <c r="D172" s="52" t="s">
        <v>2803</v>
      </c>
      <c r="E172" s="165">
        <v>24.0</v>
      </c>
      <c r="F172" s="34" t="s">
        <v>15</v>
      </c>
      <c r="G172" s="33">
        <v>6200.0</v>
      </c>
      <c r="H172" s="2"/>
      <c r="I172" s="2"/>
      <c r="J172" s="2"/>
      <c r="K172" s="2"/>
      <c r="L172" s="2"/>
      <c r="M172" s="2"/>
      <c r="N172" s="2"/>
    </row>
    <row r="173" ht="24.0" customHeight="1">
      <c r="A173" s="27" t="s">
        <v>2806</v>
      </c>
      <c r="B173" s="60" t="s">
        <v>2807</v>
      </c>
      <c r="C173" s="27" t="s">
        <v>2808</v>
      </c>
      <c r="D173" s="162" t="s">
        <v>2502</v>
      </c>
      <c r="E173" s="69">
        <v>12.0</v>
      </c>
      <c r="F173" s="29" t="s">
        <v>15</v>
      </c>
      <c r="G173" s="25">
        <v>7000.0</v>
      </c>
      <c r="H173" s="2"/>
      <c r="I173" s="2"/>
      <c r="J173" s="2"/>
      <c r="K173" s="2"/>
      <c r="L173" s="2"/>
      <c r="M173" s="2"/>
      <c r="N173" s="2"/>
    </row>
    <row r="174" ht="24.0" customHeight="1">
      <c r="A174" s="22" t="s">
        <v>2809</v>
      </c>
      <c r="B174" s="22" t="s">
        <v>2810</v>
      </c>
      <c r="C174" s="22" t="s">
        <v>2811</v>
      </c>
      <c r="D174" s="32" t="s">
        <v>2812</v>
      </c>
      <c r="E174" s="69">
        <v>16.0</v>
      </c>
      <c r="F174" s="29" t="s">
        <v>15</v>
      </c>
      <c r="G174" s="25">
        <v>2100.0</v>
      </c>
      <c r="H174" s="2"/>
      <c r="I174" s="2"/>
      <c r="J174" s="2"/>
      <c r="K174" s="2"/>
      <c r="L174" s="2"/>
      <c r="M174" s="2"/>
      <c r="N174" s="2"/>
    </row>
    <row r="175" ht="24.0" customHeight="1">
      <c r="A175" s="22" t="s">
        <v>2813</v>
      </c>
      <c r="B175" s="22" t="s">
        <v>2810</v>
      </c>
      <c r="C175" s="22" t="s">
        <v>2811</v>
      </c>
      <c r="D175" s="32" t="s">
        <v>2812</v>
      </c>
      <c r="E175" s="69">
        <v>6.0</v>
      </c>
      <c r="F175" s="29" t="s">
        <v>15</v>
      </c>
      <c r="G175" s="25">
        <v>2100.0</v>
      </c>
      <c r="H175" s="2"/>
      <c r="I175" s="2"/>
      <c r="J175" s="2"/>
      <c r="K175" s="2"/>
      <c r="L175" s="2"/>
      <c r="M175" s="2"/>
      <c r="N175" s="2"/>
    </row>
    <row r="176" ht="24.0" customHeight="1">
      <c r="A176" s="22" t="s">
        <v>2814</v>
      </c>
      <c r="B176" s="60" t="s">
        <v>2815</v>
      </c>
      <c r="C176" s="27" t="s">
        <v>2811</v>
      </c>
      <c r="D176" s="162" t="s">
        <v>2816</v>
      </c>
      <c r="E176" s="69">
        <v>36.0</v>
      </c>
      <c r="F176" s="29" t="s">
        <v>15</v>
      </c>
      <c r="G176" s="25">
        <v>2200.0</v>
      </c>
      <c r="H176" s="2"/>
      <c r="I176" s="2"/>
      <c r="J176" s="2"/>
      <c r="K176" s="2"/>
      <c r="L176" s="2"/>
      <c r="M176" s="2"/>
      <c r="N176" s="2"/>
    </row>
    <row r="177" ht="24.0" customHeight="1">
      <c r="A177" s="22" t="s">
        <v>2817</v>
      </c>
      <c r="B177" s="60" t="s">
        <v>2818</v>
      </c>
      <c r="C177" s="27" t="s">
        <v>2819</v>
      </c>
      <c r="D177" s="162" t="s">
        <v>2816</v>
      </c>
      <c r="E177" s="69">
        <v>24.0</v>
      </c>
      <c r="F177" s="29" t="s">
        <v>15</v>
      </c>
      <c r="G177" s="25">
        <v>2200.0</v>
      </c>
      <c r="H177" s="2"/>
      <c r="I177" s="2"/>
      <c r="J177" s="2"/>
      <c r="K177" s="2"/>
      <c r="L177" s="2"/>
      <c r="M177" s="2"/>
      <c r="N177" s="2"/>
    </row>
    <row r="178" ht="24.0" customHeight="1">
      <c r="A178" s="22" t="s">
        <v>2820</v>
      </c>
      <c r="B178" s="60" t="s">
        <v>2821</v>
      </c>
      <c r="C178" s="27" t="s">
        <v>2811</v>
      </c>
      <c r="D178" s="162" t="s">
        <v>2816</v>
      </c>
      <c r="E178" s="69">
        <v>18.0</v>
      </c>
      <c r="F178" s="29" t="s">
        <v>15</v>
      </c>
      <c r="G178" s="25">
        <v>2200.0</v>
      </c>
      <c r="H178" s="2"/>
      <c r="I178" s="2"/>
      <c r="J178" s="2"/>
      <c r="K178" s="2"/>
      <c r="L178" s="2"/>
      <c r="M178" s="2"/>
      <c r="N178" s="2"/>
    </row>
    <row r="179" ht="24.0" customHeight="1">
      <c r="A179" s="53" t="s">
        <v>2822</v>
      </c>
      <c r="B179" s="60" t="s">
        <v>2823</v>
      </c>
      <c r="C179" s="22" t="s">
        <v>2811</v>
      </c>
      <c r="D179" s="52" t="s">
        <v>2824</v>
      </c>
      <c r="E179" s="69">
        <v>24.0</v>
      </c>
      <c r="F179" s="29" t="s">
        <v>15</v>
      </c>
      <c r="G179" s="33">
        <v>2000.0</v>
      </c>
      <c r="H179" s="2"/>
      <c r="I179" s="2"/>
      <c r="J179" s="2"/>
      <c r="K179" s="2"/>
      <c r="L179" s="2"/>
      <c r="M179" s="2"/>
      <c r="N179" s="2"/>
    </row>
    <row r="180" ht="24.0" hidden="1" customHeight="1">
      <c r="A180" s="22" t="s">
        <v>2825</v>
      </c>
      <c r="B180" s="60" t="s">
        <v>2826</v>
      </c>
      <c r="C180" s="27" t="s">
        <v>2827</v>
      </c>
      <c r="D180" s="162" t="s">
        <v>2672</v>
      </c>
      <c r="E180" s="69"/>
      <c r="F180" s="29"/>
      <c r="G180" s="25">
        <v>1600.0</v>
      </c>
      <c r="H180" s="2"/>
      <c r="I180" s="2"/>
      <c r="J180" s="2"/>
      <c r="K180" s="2"/>
      <c r="L180" s="2"/>
      <c r="M180" s="2"/>
      <c r="N180" s="2"/>
    </row>
    <row r="181" ht="24.0" hidden="1" customHeight="1">
      <c r="A181" s="22" t="s">
        <v>2828</v>
      </c>
      <c r="B181" s="60" t="s">
        <v>2829</v>
      </c>
      <c r="C181" s="27" t="s">
        <v>2830</v>
      </c>
      <c r="D181" s="162" t="s">
        <v>2672</v>
      </c>
      <c r="E181" s="69"/>
      <c r="F181" s="29"/>
      <c r="G181" s="25">
        <v>1890.0</v>
      </c>
      <c r="H181" s="2"/>
      <c r="I181" s="2"/>
      <c r="J181" s="2"/>
      <c r="K181" s="2"/>
      <c r="L181" s="2"/>
      <c r="M181" s="2"/>
      <c r="N181" s="2"/>
    </row>
    <row r="182" ht="24.0" customHeight="1">
      <c r="A182" s="22" t="s">
        <v>2831</v>
      </c>
      <c r="B182" s="22" t="s">
        <v>2832</v>
      </c>
      <c r="C182" s="27" t="s">
        <v>2833</v>
      </c>
      <c r="D182" s="32" t="s">
        <v>2834</v>
      </c>
      <c r="E182" s="69">
        <v>38.0</v>
      </c>
      <c r="F182" s="29" t="s">
        <v>15</v>
      </c>
      <c r="G182" s="25">
        <v>1850.0</v>
      </c>
      <c r="H182" s="2"/>
      <c r="I182" s="2"/>
      <c r="J182" s="2"/>
      <c r="K182" s="2"/>
      <c r="L182" s="2"/>
      <c r="M182" s="2"/>
      <c r="N182" s="2"/>
    </row>
    <row r="183" ht="24.0" hidden="1" customHeight="1">
      <c r="A183" s="22" t="s">
        <v>2835</v>
      </c>
      <c r="B183" s="22" t="s">
        <v>2832</v>
      </c>
      <c r="C183" s="27" t="s">
        <v>2836</v>
      </c>
      <c r="D183" s="32" t="s">
        <v>2834</v>
      </c>
      <c r="E183" s="69"/>
      <c r="F183" s="29"/>
      <c r="G183" s="25">
        <v>2000.0</v>
      </c>
      <c r="H183" s="2"/>
      <c r="I183" s="2"/>
      <c r="J183" s="2"/>
      <c r="K183" s="2"/>
      <c r="L183" s="2"/>
      <c r="M183" s="2"/>
      <c r="N183" s="2"/>
    </row>
    <row r="184" ht="24.0" hidden="1" customHeight="1">
      <c r="A184" s="22" t="s">
        <v>2837</v>
      </c>
      <c r="B184" s="22" t="s">
        <v>2838</v>
      </c>
      <c r="C184" s="27" t="s">
        <v>2836</v>
      </c>
      <c r="D184" s="32" t="s">
        <v>2839</v>
      </c>
      <c r="E184" s="69"/>
      <c r="F184" s="29"/>
      <c r="G184" s="25">
        <v>1650.0</v>
      </c>
      <c r="H184" s="2"/>
      <c r="I184" s="2"/>
      <c r="J184" s="2"/>
      <c r="K184" s="2"/>
      <c r="L184" s="2"/>
      <c r="M184" s="2"/>
      <c r="N184" s="2"/>
    </row>
    <row r="185" ht="24.0" hidden="1" customHeight="1">
      <c r="A185" s="22" t="s">
        <v>2840</v>
      </c>
      <c r="B185" s="60" t="s">
        <v>2841</v>
      </c>
      <c r="C185" s="27" t="s">
        <v>2836</v>
      </c>
      <c r="D185" s="162" t="s">
        <v>2672</v>
      </c>
      <c r="E185" s="69"/>
      <c r="F185" s="29"/>
      <c r="G185" s="25">
        <v>1700.0</v>
      </c>
      <c r="H185" s="2"/>
      <c r="I185" s="2"/>
      <c r="J185" s="2"/>
      <c r="K185" s="2"/>
      <c r="L185" s="2"/>
      <c r="M185" s="2"/>
      <c r="N185" s="2"/>
    </row>
    <row r="186" ht="15.75" customHeight="1">
      <c r="A186" s="22" t="s">
        <v>2842</v>
      </c>
      <c r="B186" s="22" t="s">
        <v>2843</v>
      </c>
      <c r="C186" s="27" t="s">
        <v>2844</v>
      </c>
      <c r="D186" s="52" t="s">
        <v>2845</v>
      </c>
      <c r="E186" s="69">
        <v>43.0</v>
      </c>
      <c r="F186" s="29" t="s">
        <v>15</v>
      </c>
      <c r="G186" s="25">
        <v>2500.0</v>
      </c>
      <c r="H186" s="2"/>
      <c r="I186" s="2"/>
      <c r="J186" s="2"/>
      <c r="K186" s="2"/>
      <c r="L186" s="2"/>
      <c r="M186" s="2"/>
      <c r="N186" s="2"/>
    </row>
    <row r="187" ht="15.75" customHeight="1">
      <c r="A187" s="53" t="s">
        <v>2846</v>
      </c>
      <c r="B187" s="60" t="s">
        <v>2847</v>
      </c>
      <c r="C187" s="22" t="s">
        <v>2844</v>
      </c>
      <c r="D187" s="52" t="s">
        <v>2848</v>
      </c>
      <c r="E187" s="69">
        <v>11.0</v>
      </c>
      <c r="F187" s="29" t="s">
        <v>15</v>
      </c>
      <c r="G187" s="33">
        <v>1550.0</v>
      </c>
      <c r="H187" s="2"/>
      <c r="I187" s="2"/>
      <c r="J187" s="2"/>
      <c r="K187" s="2"/>
      <c r="L187" s="2"/>
      <c r="M187" s="2"/>
      <c r="N187" s="2"/>
    </row>
    <row r="188" ht="24.0" hidden="1" customHeight="1">
      <c r="A188" s="53" t="s">
        <v>2849</v>
      </c>
      <c r="B188" s="60" t="s">
        <v>2850</v>
      </c>
      <c r="C188" s="22" t="s">
        <v>2851</v>
      </c>
      <c r="D188" s="52"/>
      <c r="E188" s="69"/>
      <c r="F188" s="29"/>
      <c r="G188" s="33">
        <v>2200.0</v>
      </c>
      <c r="H188" s="2"/>
      <c r="I188" s="2"/>
      <c r="J188" s="2"/>
      <c r="K188" s="2"/>
      <c r="L188" s="2"/>
      <c r="M188" s="2"/>
      <c r="N188" s="2"/>
    </row>
    <row r="189" ht="24.0" hidden="1" customHeight="1">
      <c r="A189" s="22"/>
      <c r="B189" s="55"/>
      <c r="C189" s="27"/>
      <c r="D189" s="32"/>
      <c r="E189" s="4"/>
      <c r="F189" s="5"/>
      <c r="G189" s="25"/>
      <c r="H189" s="2"/>
      <c r="I189" s="2"/>
      <c r="J189" s="2"/>
      <c r="K189" s="2"/>
      <c r="L189" s="2"/>
      <c r="M189" s="2"/>
      <c r="N189" s="2"/>
    </row>
    <row r="190" ht="31.5" hidden="1" customHeight="1">
      <c r="A190" s="161" t="s">
        <v>2852</v>
      </c>
      <c r="B190" s="13"/>
      <c r="C190" s="13"/>
      <c r="D190" s="12"/>
      <c r="E190" s="20"/>
      <c r="F190" s="21"/>
      <c r="G190" s="159"/>
      <c r="H190" s="2"/>
      <c r="I190" s="2"/>
      <c r="J190" s="2"/>
      <c r="K190" s="2"/>
      <c r="L190" s="2"/>
      <c r="M190" s="2"/>
      <c r="N190" s="2"/>
    </row>
    <row r="191" ht="24.0" customHeight="1">
      <c r="A191" s="21" t="s">
        <v>0</v>
      </c>
      <c r="B191" s="21" t="s">
        <v>1</v>
      </c>
      <c r="C191" s="21" t="s">
        <v>2</v>
      </c>
      <c r="D191" s="11" t="s">
        <v>3</v>
      </c>
      <c r="E191" s="11" t="s">
        <v>2307</v>
      </c>
      <c r="F191" s="13"/>
      <c r="G191" s="159" t="s">
        <v>5</v>
      </c>
      <c r="H191" s="2"/>
      <c r="I191" s="2"/>
      <c r="J191" s="2"/>
      <c r="K191" s="2"/>
      <c r="L191" s="2"/>
      <c r="M191" s="2"/>
      <c r="N191" s="2"/>
    </row>
    <row r="192" ht="24.0" customHeight="1">
      <c r="A192" s="5" t="s">
        <v>2853</v>
      </c>
      <c r="B192" s="27" t="s">
        <v>2854</v>
      </c>
      <c r="C192" s="27" t="s">
        <v>2855</v>
      </c>
      <c r="D192" s="62" t="s">
        <v>2856</v>
      </c>
      <c r="E192" s="69">
        <v>13.0</v>
      </c>
      <c r="F192" s="29" t="s">
        <v>15</v>
      </c>
      <c r="G192" s="163">
        <v>3880.0</v>
      </c>
      <c r="H192" s="2"/>
      <c r="I192" s="2"/>
      <c r="J192" s="2"/>
      <c r="K192" s="2"/>
      <c r="L192" s="2"/>
      <c r="M192" s="2"/>
      <c r="N192" s="2"/>
    </row>
    <row r="193" ht="15.75" hidden="1" customHeight="1">
      <c r="A193" s="22" t="s">
        <v>2857</v>
      </c>
      <c r="B193" s="27" t="s">
        <v>2858</v>
      </c>
      <c r="C193" s="27" t="s">
        <v>2859</v>
      </c>
      <c r="D193" s="52" t="s">
        <v>2860</v>
      </c>
      <c r="E193" s="69"/>
      <c r="F193" s="29"/>
      <c r="G193" s="163">
        <v>2700.0</v>
      </c>
      <c r="H193" s="2"/>
      <c r="I193" s="2"/>
      <c r="J193" s="2"/>
      <c r="K193" s="2"/>
      <c r="L193" s="2"/>
      <c r="M193" s="2"/>
      <c r="N193" s="2"/>
    </row>
    <row r="194" ht="15.75" customHeight="1">
      <c r="A194" s="22" t="s">
        <v>2861</v>
      </c>
      <c r="B194" s="27" t="s">
        <v>2862</v>
      </c>
      <c r="C194" s="27" t="s">
        <v>2863</v>
      </c>
      <c r="D194" s="52" t="s">
        <v>2864</v>
      </c>
      <c r="E194" s="69">
        <v>11.0</v>
      </c>
      <c r="F194" s="29" t="s">
        <v>15</v>
      </c>
      <c r="G194" s="163">
        <v>1780.0</v>
      </c>
      <c r="H194" s="2"/>
      <c r="I194" s="2"/>
      <c r="J194" s="2"/>
      <c r="K194" s="2"/>
      <c r="L194" s="2"/>
      <c r="M194" s="2"/>
      <c r="N194" s="2"/>
    </row>
    <row r="195" ht="24.0" customHeight="1">
      <c r="A195" s="22" t="s">
        <v>2865</v>
      </c>
      <c r="B195" s="27" t="s">
        <v>2866</v>
      </c>
      <c r="C195" s="27" t="s">
        <v>2859</v>
      </c>
      <c r="D195" s="62" t="s">
        <v>2742</v>
      </c>
      <c r="E195" s="69">
        <v>46.0</v>
      </c>
      <c r="F195" s="29" t="s">
        <v>15</v>
      </c>
      <c r="G195" s="163">
        <v>1900.0</v>
      </c>
      <c r="H195" s="2"/>
      <c r="I195" s="2"/>
      <c r="J195" s="2"/>
      <c r="K195" s="2"/>
      <c r="L195" s="2"/>
      <c r="M195" s="2"/>
      <c r="N195" s="2"/>
    </row>
    <row r="196" ht="24.0" customHeight="1">
      <c r="A196" s="22" t="s">
        <v>2867</v>
      </c>
      <c r="B196" s="27" t="s">
        <v>2868</v>
      </c>
      <c r="C196" s="27" t="s">
        <v>2859</v>
      </c>
      <c r="D196" s="62" t="s">
        <v>2856</v>
      </c>
      <c r="E196" s="69">
        <v>114.0</v>
      </c>
      <c r="F196" s="29" t="s">
        <v>15</v>
      </c>
      <c r="G196" s="163">
        <v>1880.0</v>
      </c>
      <c r="H196" s="2"/>
      <c r="I196" s="2"/>
      <c r="J196" s="2"/>
      <c r="K196" s="2"/>
      <c r="L196" s="2"/>
      <c r="M196" s="2"/>
      <c r="N196" s="2"/>
    </row>
    <row r="197" ht="24.0" customHeight="1">
      <c r="A197" s="22" t="s">
        <v>2869</v>
      </c>
      <c r="B197" s="27" t="s">
        <v>2870</v>
      </c>
      <c r="C197" s="27" t="s">
        <v>2871</v>
      </c>
      <c r="D197" s="62" t="s">
        <v>2856</v>
      </c>
      <c r="E197" s="69">
        <v>59.0</v>
      </c>
      <c r="F197" s="29" t="s">
        <v>15</v>
      </c>
      <c r="G197" s="163">
        <v>980.0</v>
      </c>
      <c r="H197" s="2" t="s">
        <v>2872</v>
      </c>
      <c r="I197" s="2"/>
      <c r="J197" s="2"/>
      <c r="K197" s="2"/>
      <c r="L197" s="2"/>
      <c r="M197" s="2"/>
      <c r="N197" s="2"/>
    </row>
    <row r="198" ht="24.0" customHeight="1">
      <c r="A198" s="38" t="s">
        <v>2873</v>
      </c>
      <c r="B198" s="60" t="s">
        <v>2874</v>
      </c>
      <c r="C198" s="22" t="s">
        <v>2859</v>
      </c>
      <c r="D198" s="52" t="s">
        <v>2875</v>
      </c>
      <c r="E198" s="69">
        <v>36.0</v>
      </c>
      <c r="F198" s="29" t="s">
        <v>15</v>
      </c>
      <c r="G198" s="33">
        <v>1780.0</v>
      </c>
      <c r="H198" s="2"/>
      <c r="I198" s="2"/>
      <c r="J198" s="2"/>
      <c r="K198" s="2"/>
      <c r="L198" s="2"/>
      <c r="M198" s="2"/>
      <c r="N198" s="2"/>
    </row>
    <row r="199" ht="24.0" hidden="1" customHeight="1">
      <c r="A199" s="27" t="s">
        <v>2876</v>
      </c>
      <c r="B199" s="27" t="s">
        <v>2877</v>
      </c>
      <c r="C199" s="27" t="s">
        <v>2878</v>
      </c>
      <c r="D199" s="62" t="s">
        <v>2383</v>
      </c>
      <c r="E199" s="69"/>
      <c r="F199" s="29"/>
      <c r="G199" s="25">
        <v>1950.0</v>
      </c>
      <c r="H199" s="2"/>
      <c r="I199" s="2"/>
      <c r="J199" s="2"/>
      <c r="K199" s="2"/>
      <c r="L199" s="2"/>
      <c r="M199" s="2"/>
      <c r="N199" s="2"/>
    </row>
    <row r="200" ht="24.0" customHeight="1">
      <c r="A200" s="27" t="s">
        <v>2879</v>
      </c>
      <c r="B200" s="27" t="s">
        <v>2880</v>
      </c>
      <c r="C200" s="27" t="s">
        <v>2878</v>
      </c>
      <c r="D200" s="62" t="s">
        <v>2881</v>
      </c>
      <c r="E200" s="69">
        <v>32.0</v>
      </c>
      <c r="F200" s="29" t="s">
        <v>15</v>
      </c>
      <c r="G200" s="25">
        <v>2100.0</v>
      </c>
      <c r="H200" s="2"/>
      <c r="I200" s="2"/>
      <c r="J200" s="2"/>
      <c r="K200" s="2"/>
      <c r="L200" s="2"/>
      <c r="M200" s="2"/>
      <c r="N200" s="2"/>
    </row>
    <row r="201" ht="24.0" customHeight="1">
      <c r="A201" s="53" t="s">
        <v>2882</v>
      </c>
      <c r="B201" s="60" t="s">
        <v>2883</v>
      </c>
      <c r="C201" s="22" t="s">
        <v>2878</v>
      </c>
      <c r="D201" s="32" t="s">
        <v>2657</v>
      </c>
      <c r="E201" s="69">
        <v>60.0</v>
      </c>
      <c r="F201" s="29" t="s">
        <v>15</v>
      </c>
      <c r="G201" s="33">
        <v>2100.0</v>
      </c>
      <c r="H201" s="2"/>
      <c r="I201" s="2"/>
      <c r="J201" s="2"/>
      <c r="K201" s="2"/>
      <c r="L201" s="2"/>
      <c r="M201" s="2"/>
      <c r="N201" s="2"/>
    </row>
    <row r="202" ht="24.0" customHeight="1">
      <c r="A202" s="27" t="s">
        <v>2884</v>
      </c>
      <c r="B202" s="27" t="s">
        <v>2885</v>
      </c>
      <c r="C202" s="27" t="s">
        <v>2886</v>
      </c>
      <c r="D202" s="32" t="s">
        <v>2887</v>
      </c>
      <c r="E202" s="69">
        <v>15.0</v>
      </c>
      <c r="F202" s="29" t="s">
        <v>15</v>
      </c>
      <c r="G202" s="25">
        <v>2300.0</v>
      </c>
      <c r="H202" s="2"/>
      <c r="I202" s="2"/>
      <c r="J202" s="2"/>
      <c r="K202" s="2"/>
      <c r="L202" s="2"/>
      <c r="M202" s="2"/>
      <c r="N202" s="2"/>
    </row>
    <row r="203" ht="24.0" customHeight="1">
      <c r="A203" s="53" t="s">
        <v>2888</v>
      </c>
      <c r="B203" s="60" t="s">
        <v>2889</v>
      </c>
      <c r="C203" s="22" t="s">
        <v>2890</v>
      </c>
      <c r="D203" s="32" t="s">
        <v>2891</v>
      </c>
      <c r="E203" s="69">
        <v>36.0</v>
      </c>
      <c r="F203" s="29" t="s">
        <v>15</v>
      </c>
      <c r="G203" s="33">
        <v>1600.0</v>
      </c>
      <c r="H203" s="2"/>
      <c r="I203" s="2"/>
      <c r="J203" s="2"/>
      <c r="K203" s="2"/>
      <c r="L203" s="2"/>
      <c r="M203" s="2"/>
      <c r="N203" s="2"/>
    </row>
    <row r="204" ht="24.0" customHeight="1">
      <c r="A204" s="53" t="s">
        <v>2892</v>
      </c>
      <c r="B204" s="60" t="s">
        <v>2893</v>
      </c>
      <c r="C204" s="22" t="s">
        <v>2894</v>
      </c>
      <c r="D204" s="52" t="s">
        <v>2895</v>
      </c>
      <c r="E204" s="69">
        <v>59.0</v>
      </c>
      <c r="F204" s="29" t="s">
        <v>15</v>
      </c>
      <c r="G204" s="33">
        <v>1600.0</v>
      </c>
      <c r="H204" s="2"/>
      <c r="I204" s="2"/>
      <c r="J204" s="2"/>
      <c r="K204" s="2"/>
      <c r="L204" s="2"/>
      <c r="M204" s="2"/>
      <c r="N204" s="2"/>
    </row>
    <row r="205" ht="24.0" customHeight="1">
      <c r="A205" s="53" t="s">
        <v>2896</v>
      </c>
      <c r="B205" s="60" t="s">
        <v>2897</v>
      </c>
      <c r="C205" s="22" t="s">
        <v>2898</v>
      </c>
      <c r="D205" s="52" t="s">
        <v>2899</v>
      </c>
      <c r="E205" s="165">
        <v>35.0</v>
      </c>
      <c r="F205" s="34" t="s">
        <v>15</v>
      </c>
      <c r="G205" s="33">
        <v>2100.0</v>
      </c>
      <c r="H205" s="2"/>
      <c r="I205" s="2"/>
      <c r="J205" s="2"/>
      <c r="K205" s="2"/>
      <c r="L205" s="2"/>
      <c r="M205" s="2"/>
      <c r="N205" s="2"/>
    </row>
    <row r="206" ht="24.0" customHeight="1">
      <c r="A206" s="27" t="s">
        <v>2900</v>
      </c>
      <c r="B206" s="60" t="s">
        <v>2901</v>
      </c>
      <c r="C206" s="27" t="s">
        <v>2902</v>
      </c>
      <c r="D206" s="162" t="s">
        <v>1086</v>
      </c>
      <c r="E206" s="69">
        <v>36.0</v>
      </c>
      <c r="F206" s="29" t="s">
        <v>15</v>
      </c>
      <c r="G206" s="25">
        <v>1900.0</v>
      </c>
      <c r="H206" s="2"/>
      <c r="I206" s="2"/>
      <c r="J206" s="2"/>
      <c r="K206" s="2"/>
      <c r="L206" s="2"/>
      <c r="M206" s="2"/>
      <c r="N206" s="2"/>
    </row>
    <row r="207" ht="24.0" hidden="1" customHeight="1">
      <c r="A207" s="27" t="s">
        <v>2903</v>
      </c>
      <c r="B207" s="27" t="s">
        <v>2904</v>
      </c>
      <c r="C207" s="27" t="s">
        <v>2905</v>
      </c>
      <c r="D207" s="32"/>
      <c r="E207" s="69"/>
      <c r="F207" s="29"/>
      <c r="G207" s="25"/>
      <c r="H207" s="2"/>
      <c r="I207" s="2"/>
      <c r="J207" s="2"/>
      <c r="K207" s="2"/>
      <c r="L207" s="2"/>
      <c r="M207" s="2"/>
      <c r="N207" s="2"/>
    </row>
    <row r="208" ht="24.0" hidden="1" customHeight="1">
      <c r="A208" s="27" t="s">
        <v>2906</v>
      </c>
      <c r="B208" s="27" t="s">
        <v>2907</v>
      </c>
      <c r="C208" s="27" t="s">
        <v>2908</v>
      </c>
      <c r="D208" s="32"/>
      <c r="E208" s="69"/>
      <c r="F208" s="29"/>
      <c r="G208" s="25"/>
      <c r="H208" s="2"/>
      <c r="I208" s="2"/>
      <c r="J208" s="2"/>
      <c r="K208" s="2"/>
      <c r="L208" s="2"/>
      <c r="M208" s="2"/>
      <c r="N208" s="2"/>
    </row>
    <row r="209" ht="24.0" customHeight="1">
      <c r="A209" s="27" t="s">
        <v>2909</v>
      </c>
      <c r="B209" s="27" t="s">
        <v>2910</v>
      </c>
      <c r="C209" s="27" t="s">
        <v>2911</v>
      </c>
      <c r="D209" s="32" t="s">
        <v>1057</v>
      </c>
      <c r="E209" s="69">
        <v>6.0</v>
      </c>
      <c r="F209" s="29" t="s">
        <v>15</v>
      </c>
      <c r="G209" s="25">
        <v>9450.0</v>
      </c>
      <c r="H209" s="2"/>
      <c r="I209" s="2"/>
      <c r="J209" s="2"/>
      <c r="K209" s="2"/>
      <c r="L209" s="2"/>
      <c r="M209" s="2"/>
      <c r="N209" s="2"/>
    </row>
    <row r="210" ht="24.0" customHeight="1">
      <c r="A210" s="27" t="s">
        <v>2912</v>
      </c>
      <c r="B210" s="27" t="s">
        <v>2913</v>
      </c>
      <c r="C210" s="27" t="s">
        <v>2914</v>
      </c>
      <c r="D210" s="32" t="s">
        <v>2915</v>
      </c>
      <c r="E210" s="69">
        <v>10.0</v>
      </c>
      <c r="F210" s="29" t="s">
        <v>15</v>
      </c>
      <c r="G210" s="25">
        <v>11000.0</v>
      </c>
      <c r="H210" s="2"/>
      <c r="I210" s="2"/>
      <c r="J210" s="2"/>
      <c r="K210" s="2"/>
      <c r="L210" s="2"/>
      <c r="M210" s="2"/>
      <c r="N210" s="2"/>
    </row>
    <row r="211" ht="24.0" customHeight="1">
      <c r="A211" s="53" t="s">
        <v>2916</v>
      </c>
      <c r="B211" s="60" t="s">
        <v>2917</v>
      </c>
      <c r="C211" s="22" t="s">
        <v>2911</v>
      </c>
      <c r="D211" s="32" t="s">
        <v>2918</v>
      </c>
      <c r="E211" s="165">
        <v>6.0</v>
      </c>
      <c r="F211" s="34" t="s">
        <v>15</v>
      </c>
      <c r="G211" s="33">
        <v>11000.0</v>
      </c>
      <c r="H211" s="2"/>
      <c r="I211" s="2"/>
      <c r="J211" s="2"/>
      <c r="K211" s="2"/>
      <c r="L211" s="2"/>
      <c r="M211" s="2"/>
      <c r="N211" s="2"/>
    </row>
    <row r="212" ht="24.0" hidden="1" customHeight="1">
      <c r="A212" s="27" t="s">
        <v>2919</v>
      </c>
      <c r="B212" s="60" t="s">
        <v>2920</v>
      </c>
      <c r="C212" s="27" t="s">
        <v>2921</v>
      </c>
      <c r="D212" s="162" t="s">
        <v>2816</v>
      </c>
      <c r="E212" s="69"/>
      <c r="F212" s="29"/>
      <c r="G212" s="25">
        <v>1700.0</v>
      </c>
      <c r="H212" s="2"/>
      <c r="I212" s="2"/>
      <c r="J212" s="2"/>
      <c r="K212" s="2"/>
      <c r="L212" s="2"/>
      <c r="M212" s="2"/>
      <c r="N212" s="2"/>
    </row>
    <row r="213" ht="24.0" hidden="1" customHeight="1">
      <c r="A213" s="38" t="s">
        <v>2922</v>
      </c>
      <c r="B213" s="38" t="s">
        <v>2923</v>
      </c>
      <c r="C213" s="27" t="s">
        <v>2924</v>
      </c>
      <c r="D213" s="32" t="s">
        <v>2925</v>
      </c>
      <c r="E213" s="69"/>
      <c r="F213" s="29"/>
      <c r="G213" s="25">
        <v>3860.0</v>
      </c>
      <c r="H213" s="2"/>
      <c r="I213" s="2"/>
      <c r="J213" s="2"/>
      <c r="K213" s="2"/>
      <c r="L213" s="2"/>
      <c r="M213" s="2"/>
      <c r="N213" s="2"/>
    </row>
    <row r="214" ht="24.0" hidden="1" customHeight="1">
      <c r="A214" s="27" t="s">
        <v>2926</v>
      </c>
      <c r="B214" s="27" t="s">
        <v>2927</v>
      </c>
      <c r="C214" s="27" t="s">
        <v>2924</v>
      </c>
      <c r="D214" s="32" t="s">
        <v>2928</v>
      </c>
      <c r="E214" s="69"/>
      <c r="F214" s="29"/>
      <c r="G214" s="25">
        <v>4300.0</v>
      </c>
      <c r="H214" s="2"/>
      <c r="I214" s="2"/>
      <c r="J214" s="2"/>
      <c r="K214" s="2"/>
      <c r="L214" s="2"/>
      <c r="M214" s="2"/>
      <c r="N214" s="2"/>
    </row>
    <row r="215" ht="24.0" customHeight="1">
      <c r="A215" s="53" t="s">
        <v>2929</v>
      </c>
      <c r="B215" s="60" t="s">
        <v>2930</v>
      </c>
      <c r="C215" s="22" t="s">
        <v>2924</v>
      </c>
      <c r="D215" s="32" t="s">
        <v>2891</v>
      </c>
      <c r="E215" s="69">
        <v>3.0</v>
      </c>
      <c r="F215" s="29" t="s">
        <v>15</v>
      </c>
      <c r="G215" s="33">
        <v>4200.0</v>
      </c>
      <c r="H215" s="2"/>
      <c r="I215" s="2"/>
      <c r="J215" s="2"/>
      <c r="K215" s="2"/>
      <c r="L215" s="2"/>
      <c r="M215" s="2"/>
      <c r="N215" s="2"/>
    </row>
    <row r="216" ht="24.0" customHeight="1">
      <c r="A216" s="53" t="s">
        <v>2931</v>
      </c>
      <c r="B216" s="60" t="s">
        <v>2932</v>
      </c>
      <c r="C216" s="22" t="s">
        <v>2933</v>
      </c>
      <c r="D216" s="32" t="s">
        <v>2934</v>
      </c>
      <c r="E216" s="69">
        <v>18.0</v>
      </c>
      <c r="F216" s="29" t="s">
        <v>15</v>
      </c>
      <c r="G216" s="33">
        <v>1750.0</v>
      </c>
      <c r="H216" s="2"/>
      <c r="I216" s="2"/>
      <c r="J216" s="2"/>
      <c r="K216" s="2"/>
      <c r="L216" s="2"/>
      <c r="M216" s="2"/>
      <c r="N216" s="2"/>
    </row>
    <row r="217" ht="24.0" hidden="1" customHeight="1">
      <c r="A217" s="22" t="s">
        <v>2935</v>
      </c>
      <c r="B217" s="53" t="s">
        <v>2936</v>
      </c>
      <c r="C217" s="27" t="s">
        <v>2937</v>
      </c>
      <c r="D217" s="62" t="s">
        <v>2938</v>
      </c>
      <c r="E217" s="69"/>
      <c r="F217" s="29"/>
      <c r="G217" s="25">
        <v>1150.0</v>
      </c>
      <c r="H217" s="2"/>
      <c r="I217" s="2"/>
      <c r="J217" s="2"/>
      <c r="K217" s="2"/>
      <c r="L217" s="2"/>
      <c r="M217" s="2"/>
      <c r="N217" s="2"/>
    </row>
    <row r="218" ht="24.0" customHeight="1">
      <c r="A218" s="22" t="s">
        <v>2939</v>
      </c>
      <c r="B218" s="53" t="s">
        <v>2940</v>
      </c>
      <c r="C218" s="27" t="s">
        <v>2937</v>
      </c>
      <c r="D218" s="62" t="s">
        <v>2941</v>
      </c>
      <c r="E218" s="69">
        <v>31.0</v>
      </c>
      <c r="F218" s="29" t="s">
        <v>15</v>
      </c>
      <c r="G218" s="25">
        <v>1200.0</v>
      </c>
      <c r="H218" s="2"/>
      <c r="I218" s="2"/>
      <c r="J218" s="2"/>
      <c r="K218" s="2"/>
      <c r="L218" s="2"/>
      <c r="M218" s="2"/>
      <c r="N218" s="2"/>
    </row>
    <row r="219" ht="24.0" hidden="1" customHeight="1">
      <c r="A219" s="22" t="s">
        <v>2942</v>
      </c>
      <c r="B219" s="27" t="s">
        <v>2943</v>
      </c>
      <c r="C219" s="27" t="s">
        <v>2944</v>
      </c>
      <c r="D219" s="62" t="s">
        <v>2941</v>
      </c>
      <c r="E219" s="69"/>
      <c r="F219" s="29"/>
      <c r="G219" s="25">
        <v>1200.0</v>
      </c>
      <c r="H219" s="2"/>
      <c r="I219" s="2"/>
      <c r="J219" s="2"/>
      <c r="K219" s="2"/>
      <c r="L219" s="2"/>
      <c r="M219" s="2"/>
      <c r="N219" s="2"/>
    </row>
    <row r="220" ht="24.0" hidden="1" customHeight="1">
      <c r="A220" s="22" t="s">
        <v>2945</v>
      </c>
      <c r="B220" s="60" t="s">
        <v>2946</v>
      </c>
      <c r="C220" s="27" t="s">
        <v>2947</v>
      </c>
      <c r="D220" s="162" t="s">
        <v>1724</v>
      </c>
      <c r="E220" s="69"/>
      <c r="F220" s="29"/>
      <c r="G220" s="25">
        <v>1080.0</v>
      </c>
      <c r="H220" s="2"/>
      <c r="I220" s="2"/>
      <c r="J220" s="2"/>
      <c r="K220" s="2"/>
      <c r="L220" s="2"/>
      <c r="M220" s="2"/>
      <c r="N220" s="2"/>
    </row>
    <row r="221" ht="24.0" hidden="1" customHeight="1">
      <c r="A221" s="22" t="s">
        <v>2948</v>
      </c>
      <c r="B221" s="60" t="s">
        <v>2949</v>
      </c>
      <c r="C221" s="27" t="s">
        <v>2950</v>
      </c>
      <c r="D221" s="162" t="s">
        <v>2951</v>
      </c>
      <c r="E221" s="69"/>
      <c r="F221" s="29"/>
      <c r="G221" s="25">
        <v>1150.0</v>
      </c>
      <c r="H221" s="2"/>
      <c r="I221" s="2"/>
      <c r="J221" s="2"/>
      <c r="K221" s="2"/>
      <c r="L221" s="2"/>
      <c r="M221" s="2"/>
      <c r="N221" s="2"/>
    </row>
    <row r="222" ht="24.0" customHeight="1">
      <c r="A222" s="27" t="s">
        <v>2952</v>
      </c>
      <c r="B222" s="53" t="s">
        <v>2953</v>
      </c>
      <c r="C222" s="27" t="s">
        <v>2954</v>
      </c>
      <c r="D222" s="32" t="s">
        <v>2607</v>
      </c>
      <c r="E222" s="69">
        <v>5.0</v>
      </c>
      <c r="F222" s="29" t="s">
        <v>15</v>
      </c>
      <c r="G222" s="25">
        <v>3000.0</v>
      </c>
      <c r="H222" s="2"/>
      <c r="I222" s="2"/>
      <c r="J222" s="2"/>
      <c r="K222" s="2"/>
      <c r="L222" s="2"/>
      <c r="M222" s="2"/>
      <c r="N222" s="2"/>
    </row>
    <row r="223" ht="24.0" hidden="1" customHeight="1">
      <c r="A223" s="27" t="s">
        <v>2955</v>
      </c>
      <c r="B223" s="29" t="s">
        <v>2956</v>
      </c>
      <c r="C223" s="27" t="s">
        <v>2957</v>
      </c>
      <c r="D223" s="62" t="s">
        <v>2958</v>
      </c>
      <c r="E223" s="69"/>
      <c r="F223" s="29"/>
      <c r="G223" s="25">
        <v>2600.0</v>
      </c>
      <c r="H223" s="2"/>
      <c r="I223" s="2"/>
      <c r="J223" s="2"/>
      <c r="K223" s="2"/>
      <c r="L223" s="2"/>
      <c r="M223" s="2"/>
      <c r="N223" s="2"/>
    </row>
    <row r="224" ht="24.0" customHeight="1">
      <c r="A224" s="53" t="s">
        <v>2959</v>
      </c>
      <c r="B224" s="60" t="s">
        <v>2960</v>
      </c>
      <c r="C224" s="22" t="s">
        <v>2961</v>
      </c>
      <c r="D224" s="52" t="s">
        <v>2962</v>
      </c>
      <c r="E224" s="69">
        <v>12.0</v>
      </c>
      <c r="F224" s="29" t="s">
        <v>15</v>
      </c>
      <c r="G224" s="33">
        <v>2800.0</v>
      </c>
      <c r="H224" s="2"/>
      <c r="I224" s="2"/>
      <c r="J224" s="2"/>
      <c r="K224" s="2"/>
      <c r="L224" s="2"/>
      <c r="M224" s="2"/>
      <c r="N224" s="2"/>
    </row>
    <row r="225" ht="24.0" hidden="1" customHeight="1">
      <c r="A225" s="22" t="s">
        <v>2963</v>
      </c>
      <c r="B225" s="53" t="s">
        <v>2964</v>
      </c>
      <c r="C225" s="27" t="s">
        <v>2965</v>
      </c>
      <c r="D225" s="32"/>
      <c r="E225" s="69"/>
      <c r="F225" s="29"/>
      <c r="G225" s="31">
        <v>1080.0</v>
      </c>
      <c r="H225" s="2"/>
      <c r="I225" s="2"/>
      <c r="J225" s="2"/>
      <c r="K225" s="2"/>
      <c r="L225" s="2"/>
      <c r="M225" s="2"/>
      <c r="N225" s="2"/>
    </row>
    <row r="226" ht="24.0" customHeight="1">
      <c r="A226" s="53" t="s">
        <v>2966</v>
      </c>
      <c r="B226" s="164" t="s">
        <v>2967</v>
      </c>
      <c r="C226" s="22" t="s">
        <v>2968</v>
      </c>
      <c r="D226" s="32"/>
      <c r="E226" s="165">
        <v>51.0</v>
      </c>
      <c r="F226" s="34" t="s">
        <v>15</v>
      </c>
      <c r="G226" s="33">
        <v>1350.0</v>
      </c>
      <c r="H226" s="2"/>
      <c r="I226" s="2"/>
      <c r="J226" s="2"/>
      <c r="K226" s="2"/>
      <c r="L226" s="2"/>
      <c r="M226" s="2"/>
      <c r="N226" s="2"/>
    </row>
    <row r="227" ht="24.0" customHeight="1">
      <c r="A227" s="53" t="s">
        <v>2969</v>
      </c>
      <c r="B227" s="60" t="s">
        <v>2970</v>
      </c>
      <c r="C227" s="22" t="s">
        <v>2971</v>
      </c>
      <c r="D227" s="32" t="s">
        <v>2972</v>
      </c>
      <c r="E227" s="69">
        <v>436.0</v>
      </c>
      <c r="F227" s="29" t="s">
        <v>15</v>
      </c>
      <c r="G227" s="33">
        <v>1300.0</v>
      </c>
      <c r="H227" s="2"/>
      <c r="I227" s="2"/>
      <c r="J227" s="2"/>
      <c r="K227" s="2"/>
      <c r="L227" s="2"/>
      <c r="M227" s="2"/>
      <c r="N227" s="2"/>
    </row>
    <row r="228" ht="24.0" hidden="1" customHeight="1">
      <c r="A228" s="2"/>
      <c r="B228" s="2"/>
      <c r="C228" s="2"/>
      <c r="D228" s="3"/>
      <c r="E228" s="4"/>
      <c r="F228" s="5"/>
      <c r="G228" s="31"/>
      <c r="H228" s="2"/>
      <c r="I228" s="2"/>
      <c r="J228" s="2"/>
      <c r="K228" s="2"/>
      <c r="L228" s="2"/>
      <c r="M228" s="2"/>
      <c r="N228" s="2"/>
    </row>
    <row r="229" ht="31.5" hidden="1" customHeight="1">
      <c r="A229" s="161" t="s">
        <v>2973</v>
      </c>
      <c r="B229" s="13"/>
      <c r="C229" s="13"/>
      <c r="D229" s="12"/>
      <c r="E229" s="20"/>
      <c r="F229" s="21"/>
      <c r="G229" s="159"/>
      <c r="H229" s="2"/>
      <c r="I229" s="2"/>
      <c r="J229" s="2"/>
      <c r="K229" s="2"/>
      <c r="L229" s="2"/>
      <c r="M229" s="2"/>
      <c r="N229" s="2"/>
    </row>
    <row r="230" ht="24.0" customHeight="1">
      <c r="A230" s="21" t="s">
        <v>0</v>
      </c>
      <c r="B230" s="21" t="s">
        <v>1</v>
      </c>
      <c r="C230" s="21" t="s">
        <v>2</v>
      </c>
      <c r="D230" s="11" t="s">
        <v>3</v>
      </c>
      <c r="E230" s="11" t="s">
        <v>2307</v>
      </c>
      <c r="F230" s="13"/>
      <c r="G230" s="159" t="s">
        <v>5</v>
      </c>
      <c r="H230" s="2"/>
      <c r="I230" s="2"/>
      <c r="J230" s="2"/>
      <c r="K230" s="2"/>
      <c r="L230" s="2"/>
      <c r="M230" s="2"/>
      <c r="N230" s="2"/>
    </row>
    <row r="231" ht="24.0" hidden="1" customHeight="1">
      <c r="A231" s="22" t="s">
        <v>2974</v>
      </c>
      <c r="B231" s="53" t="s">
        <v>2975</v>
      </c>
      <c r="C231" s="27" t="s">
        <v>2976</v>
      </c>
      <c r="D231" s="32" t="s">
        <v>2977</v>
      </c>
      <c r="E231" s="69"/>
      <c r="F231" s="29"/>
      <c r="G231" s="33">
        <v>2550.0</v>
      </c>
      <c r="H231" s="2"/>
      <c r="I231" s="2"/>
      <c r="J231" s="2"/>
      <c r="K231" s="2"/>
      <c r="L231" s="2"/>
      <c r="M231" s="2"/>
      <c r="N231" s="2"/>
    </row>
    <row r="232" ht="24.0" hidden="1" customHeight="1">
      <c r="A232" s="22" t="s">
        <v>2978</v>
      </c>
      <c r="B232" s="53" t="s">
        <v>2979</v>
      </c>
      <c r="C232" s="27" t="s">
        <v>2976</v>
      </c>
      <c r="D232" s="32" t="s">
        <v>1094</v>
      </c>
      <c r="E232" s="69"/>
      <c r="F232" s="29"/>
      <c r="G232" s="33">
        <v>2300.0</v>
      </c>
      <c r="H232" s="2"/>
      <c r="I232" s="2"/>
      <c r="J232" s="2"/>
      <c r="K232" s="2"/>
      <c r="L232" s="2"/>
      <c r="M232" s="2"/>
      <c r="N232" s="2"/>
    </row>
    <row r="233" ht="24.0" hidden="1" customHeight="1">
      <c r="A233" s="53" t="s">
        <v>2980</v>
      </c>
      <c r="B233" s="60" t="s">
        <v>2981</v>
      </c>
      <c r="C233" s="22" t="s">
        <v>2982</v>
      </c>
      <c r="D233" s="32" t="s">
        <v>2983</v>
      </c>
      <c r="E233" s="4"/>
      <c r="F233" s="5"/>
      <c r="G233" s="33">
        <v>1550.0</v>
      </c>
      <c r="H233" s="2"/>
      <c r="I233" s="2"/>
      <c r="J233" s="2"/>
      <c r="K233" s="2"/>
      <c r="L233" s="2"/>
      <c r="M233" s="2"/>
      <c r="N233" s="2"/>
    </row>
    <row r="234" ht="24.0" hidden="1" customHeight="1">
      <c r="A234" s="27" t="s">
        <v>2984</v>
      </c>
      <c r="B234" s="53" t="s">
        <v>2985</v>
      </c>
      <c r="C234" s="27" t="s">
        <v>2986</v>
      </c>
      <c r="D234" s="32" t="s">
        <v>2983</v>
      </c>
      <c r="E234" s="4"/>
      <c r="F234" s="5"/>
      <c r="G234" s="33">
        <v>2790.0</v>
      </c>
      <c r="H234" s="2"/>
      <c r="I234" s="2"/>
      <c r="J234" s="2"/>
      <c r="K234" s="2"/>
      <c r="L234" s="2"/>
      <c r="M234" s="2"/>
      <c r="N234" s="2"/>
    </row>
    <row r="235" ht="24.0" hidden="1" customHeight="1">
      <c r="A235" s="53" t="s">
        <v>2987</v>
      </c>
      <c r="B235" s="34" t="s">
        <v>2988</v>
      </c>
      <c r="C235" s="22" t="s">
        <v>2989</v>
      </c>
      <c r="D235" s="32" t="s">
        <v>2990</v>
      </c>
      <c r="E235" s="175"/>
      <c r="F235" s="176"/>
      <c r="G235" s="33">
        <v>1300.0</v>
      </c>
      <c r="H235" s="2"/>
      <c r="I235" s="2"/>
      <c r="J235" s="2"/>
      <c r="K235" s="2"/>
      <c r="L235" s="2"/>
      <c r="M235" s="2"/>
      <c r="N235" s="2"/>
    </row>
    <row r="236" ht="24.0" hidden="1" customHeight="1">
      <c r="A236" s="53" t="s">
        <v>2991</v>
      </c>
      <c r="B236" s="60" t="s">
        <v>2992</v>
      </c>
      <c r="C236" s="22" t="s">
        <v>2993</v>
      </c>
      <c r="D236" s="32" t="s">
        <v>2994</v>
      </c>
      <c r="E236" s="4"/>
      <c r="F236" s="5"/>
      <c r="G236" s="33">
        <v>1800.0</v>
      </c>
      <c r="H236" s="2"/>
      <c r="I236" s="2"/>
      <c r="J236" s="2"/>
      <c r="K236" s="2"/>
      <c r="L236" s="2"/>
      <c r="M236" s="2"/>
      <c r="N236" s="2"/>
    </row>
    <row r="237" ht="24.0" hidden="1" customHeight="1">
      <c r="A237" s="160"/>
      <c r="D237" s="3"/>
      <c r="E237" s="4"/>
      <c r="F237" s="5"/>
      <c r="G237" s="31"/>
      <c r="H237" s="2"/>
      <c r="I237" s="2"/>
      <c r="J237" s="2"/>
      <c r="K237" s="2"/>
      <c r="L237" s="2"/>
      <c r="M237" s="2"/>
      <c r="N237" s="2"/>
    </row>
    <row r="238" ht="31.5" hidden="1" customHeight="1">
      <c r="A238" s="161" t="s">
        <v>2995</v>
      </c>
      <c r="B238" s="13"/>
      <c r="C238" s="13"/>
      <c r="D238" s="12"/>
      <c r="E238" s="20"/>
      <c r="F238" s="21"/>
      <c r="G238" s="159"/>
      <c r="H238" s="2"/>
      <c r="I238" s="2"/>
      <c r="J238" s="2"/>
      <c r="K238" s="2"/>
      <c r="L238" s="2"/>
      <c r="M238" s="2"/>
      <c r="N238" s="2"/>
    </row>
    <row r="239" ht="24.0" customHeight="1">
      <c r="A239" s="21" t="s">
        <v>0</v>
      </c>
      <c r="B239" s="21" t="s">
        <v>1</v>
      </c>
      <c r="C239" s="21" t="s">
        <v>2</v>
      </c>
      <c r="D239" s="11" t="s">
        <v>3</v>
      </c>
      <c r="E239" s="11" t="s">
        <v>2307</v>
      </c>
      <c r="F239" s="13"/>
      <c r="G239" s="159" t="s">
        <v>5</v>
      </c>
      <c r="H239" s="2"/>
      <c r="I239" s="2"/>
      <c r="J239" s="2"/>
      <c r="K239" s="2"/>
      <c r="L239" s="2"/>
      <c r="M239" s="2"/>
      <c r="N239" s="2"/>
    </row>
    <row r="240" ht="24.0" customHeight="1">
      <c r="A240" s="38" t="s">
        <v>2996</v>
      </c>
      <c r="B240" s="38" t="s">
        <v>2997</v>
      </c>
      <c r="C240" s="5" t="s">
        <v>2998</v>
      </c>
      <c r="D240" s="32" t="s">
        <v>2999</v>
      </c>
      <c r="E240" s="69">
        <v>6.0</v>
      </c>
      <c r="F240" s="29" t="s">
        <v>15</v>
      </c>
      <c r="G240" s="25">
        <v>8300.0</v>
      </c>
      <c r="H240" s="177"/>
      <c r="I240" s="177"/>
      <c r="J240" s="177"/>
      <c r="K240" s="177"/>
      <c r="L240" s="177"/>
      <c r="M240" s="177"/>
      <c r="N240" s="177"/>
    </row>
    <row r="241" ht="24.0" customHeight="1">
      <c r="A241" s="38" t="s">
        <v>3000</v>
      </c>
      <c r="B241" s="38" t="s">
        <v>3001</v>
      </c>
      <c r="C241" s="27" t="s">
        <v>2998</v>
      </c>
      <c r="D241" s="32" t="s">
        <v>3002</v>
      </c>
      <c r="E241" s="69">
        <v>6.0</v>
      </c>
      <c r="F241" s="29" t="s">
        <v>15</v>
      </c>
      <c r="G241" s="25">
        <v>8000.0</v>
      </c>
      <c r="H241" s="2"/>
      <c r="I241" s="2"/>
      <c r="J241" s="2"/>
      <c r="K241" s="2"/>
      <c r="L241" s="2"/>
      <c r="M241" s="2"/>
      <c r="N241" s="2"/>
    </row>
    <row r="242" ht="24.0" customHeight="1">
      <c r="A242" s="27" t="s">
        <v>3003</v>
      </c>
      <c r="B242" s="27" t="s">
        <v>3004</v>
      </c>
      <c r="C242" s="27" t="s">
        <v>3005</v>
      </c>
      <c r="D242" s="32" t="s">
        <v>3006</v>
      </c>
      <c r="E242" s="69">
        <v>6.0</v>
      </c>
      <c r="F242" s="29" t="s">
        <v>15</v>
      </c>
      <c r="G242" s="25">
        <v>7740.0</v>
      </c>
      <c r="H242" s="2"/>
      <c r="I242" s="2"/>
      <c r="J242" s="2"/>
      <c r="K242" s="2"/>
      <c r="L242" s="2"/>
      <c r="M242" s="2"/>
      <c r="N242" s="2"/>
    </row>
    <row r="243" ht="24.0" hidden="1" customHeight="1">
      <c r="A243" s="22" t="s">
        <v>3007</v>
      </c>
      <c r="B243" s="22" t="s">
        <v>3008</v>
      </c>
      <c r="C243" s="27" t="s">
        <v>3009</v>
      </c>
      <c r="D243" s="32"/>
      <c r="E243" s="69"/>
      <c r="F243" s="29"/>
      <c r="G243" s="25"/>
      <c r="H243" s="2"/>
      <c r="I243" s="2"/>
      <c r="J243" s="2"/>
      <c r="K243" s="2"/>
      <c r="L243" s="2"/>
      <c r="M243" s="2"/>
      <c r="N243" s="2"/>
    </row>
    <row r="244" ht="24.0" hidden="1" customHeight="1">
      <c r="A244" s="22" t="s">
        <v>3010</v>
      </c>
      <c r="B244" s="22" t="s">
        <v>3011</v>
      </c>
      <c r="C244" s="27" t="s">
        <v>3012</v>
      </c>
      <c r="D244" s="32" t="s">
        <v>3013</v>
      </c>
      <c r="E244" s="69"/>
      <c r="F244" s="29"/>
      <c r="G244" s="25">
        <v>4050.0</v>
      </c>
      <c r="H244" s="2"/>
      <c r="I244" s="2"/>
      <c r="J244" s="2"/>
      <c r="K244" s="2"/>
      <c r="L244" s="2"/>
      <c r="M244" s="2"/>
      <c r="N244" s="2"/>
    </row>
    <row r="245" ht="24.0" customHeight="1">
      <c r="A245" s="27" t="s">
        <v>3014</v>
      </c>
      <c r="B245" s="27" t="s">
        <v>3015</v>
      </c>
      <c r="C245" s="27" t="s">
        <v>2998</v>
      </c>
      <c r="D245" s="32" t="s">
        <v>3006</v>
      </c>
      <c r="E245" s="69">
        <v>36.0</v>
      </c>
      <c r="F245" s="29" t="s">
        <v>15</v>
      </c>
      <c r="G245" s="25">
        <v>3600.0</v>
      </c>
      <c r="H245" s="2"/>
      <c r="I245" s="2"/>
      <c r="J245" s="2"/>
      <c r="K245" s="2"/>
      <c r="L245" s="2"/>
      <c r="M245" s="2"/>
      <c r="N245" s="2"/>
    </row>
    <row r="246" ht="15.75" customHeight="1">
      <c r="A246" s="27" t="s">
        <v>3016</v>
      </c>
      <c r="B246" s="27" t="s">
        <v>3017</v>
      </c>
      <c r="C246" s="27" t="s">
        <v>2998</v>
      </c>
      <c r="D246" s="52" t="s">
        <v>3018</v>
      </c>
      <c r="E246" s="69">
        <v>12.0</v>
      </c>
      <c r="F246" s="29" t="s">
        <v>15</v>
      </c>
      <c r="G246" s="25">
        <v>4600.0</v>
      </c>
      <c r="H246" s="2"/>
      <c r="I246" s="2"/>
      <c r="J246" s="2"/>
      <c r="K246" s="2"/>
      <c r="L246" s="2"/>
      <c r="M246" s="2"/>
      <c r="N246" s="2"/>
    </row>
    <row r="247" ht="15.75" customHeight="1">
      <c r="A247" s="27" t="s">
        <v>3019</v>
      </c>
      <c r="B247" s="27" t="s">
        <v>3020</v>
      </c>
      <c r="C247" s="27" t="s">
        <v>2998</v>
      </c>
      <c r="D247" s="52" t="s">
        <v>3021</v>
      </c>
      <c r="E247" s="69">
        <v>24.0</v>
      </c>
      <c r="F247" s="29" t="s">
        <v>15</v>
      </c>
      <c r="G247" s="25">
        <v>6000.0</v>
      </c>
      <c r="H247" s="2"/>
      <c r="I247" s="2"/>
      <c r="J247" s="2"/>
      <c r="K247" s="2"/>
      <c r="L247" s="2"/>
      <c r="M247" s="2"/>
      <c r="N247" s="2"/>
    </row>
    <row r="248" ht="15.75" customHeight="1">
      <c r="A248" s="27" t="s">
        <v>3022</v>
      </c>
      <c r="B248" s="27" t="s">
        <v>3020</v>
      </c>
      <c r="C248" s="27" t="s">
        <v>2998</v>
      </c>
      <c r="D248" s="52" t="s">
        <v>3021</v>
      </c>
      <c r="E248" s="69">
        <v>36.0</v>
      </c>
      <c r="F248" s="29" t="s">
        <v>15</v>
      </c>
      <c r="G248" s="25">
        <v>6000.0</v>
      </c>
      <c r="H248" s="2"/>
      <c r="I248" s="2"/>
      <c r="J248" s="2"/>
      <c r="K248" s="2"/>
      <c r="L248" s="2"/>
      <c r="M248" s="2"/>
      <c r="N248" s="2"/>
    </row>
    <row r="249" ht="15.75" customHeight="1">
      <c r="A249" s="27" t="s">
        <v>3023</v>
      </c>
      <c r="B249" s="27" t="s">
        <v>3024</v>
      </c>
      <c r="C249" s="27" t="s">
        <v>2998</v>
      </c>
      <c r="D249" s="52" t="s">
        <v>3025</v>
      </c>
      <c r="E249" s="69">
        <v>35.0</v>
      </c>
      <c r="F249" s="29" t="s">
        <v>15</v>
      </c>
      <c r="G249" s="25">
        <v>3800.0</v>
      </c>
      <c r="H249" s="2"/>
      <c r="I249" s="2"/>
      <c r="J249" s="2"/>
      <c r="K249" s="2"/>
      <c r="L249" s="2"/>
      <c r="M249" s="2"/>
      <c r="N249" s="2"/>
    </row>
    <row r="250" ht="24.0" customHeight="1">
      <c r="A250" s="27" t="s">
        <v>3026</v>
      </c>
      <c r="B250" s="60" t="s">
        <v>3027</v>
      </c>
      <c r="C250" s="27" t="s">
        <v>2998</v>
      </c>
      <c r="D250" s="162" t="s">
        <v>3028</v>
      </c>
      <c r="E250" s="69">
        <v>6.0</v>
      </c>
      <c r="F250" s="29" t="s">
        <v>15</v>
      </c>
      <c r="G250" s="25">
        <v>3800.0</v>
      </c>
      <c r="H250" s="2"/>
      <c r="I250" s="2"/>
      <c r="J250" s="2"/>
      <c r="K250" s="2"/>
      <c r="L250" s="2"/>
      <c r="M250" s="2"/>
      <c r="N250" s="2"/>
    </row>
    <row r="251" ht="24.0" customHeight="1">
      <c r="A251" s="27" t="s">
        <v>3029</v>
      </c>
      <c r="B251" s="60" t="s">
        <v>3027</v>
      </c>
      <c r="C251" s="27" t="s">
        <v>2998</v>
      </c>
      <c r="D251" s="162" t="s">
        <v>3028</v>
      </c>
      <c r="E251" s="69">
        <v>12.0</v>
      </c>
      <c r="F251" s="29" t="s">
        <v>15</v>
      </c>
      <c r="G251" s="25">
        <v>3800.0</v>
      </c>
      <c r="H251" s="2"/>
      <c r="I251" s="2"/>
      <c r="J251" s="2"/>
      <c r="K251" s="2"/>
      <c r="L251" s="2"/>
      <c r="M251" s="2"/>
      <c r="N251" s="2"/>
    </row>
    <row r="252" ht="24.0" customHeight="1">
      <c r="A252" s="53" t="s">
        <v>3030</v>
      </c>
      <c r="B252" s="34" t="s">
        <v>3031</v>
      </c>
      <c r="C252" s="22" t="s">
        <v>2998</v>
      </c>
      <c r="D252" s="52" t="s">
        <v>3032</v>
      </c>
      <c r="E252" s="165">
        <v>12.0</v>
      </c>
      <c r="F252" s="34" t="s">
        <v>15</v>
      </c>
      <c r="G252" s="33">
        <v>3800.0</v>
      </c>
      <c r="H252" s="2"/>
      <c r="I252" s="2"/>
      <c r="J252" s="2"/>
      <c r="K252" s="2"/>
      <c r="L252" s="2"/>
      <c r="M252" s="2"/>
      <c r="N252" s="2"/>
    </row>
    <row r="253" ht="24.0" customHeight="1">
      <c r="A253" s="27" t="s">
        <v>3033</v>
      </c>
      <c r="B253" s="60" t="s">
        <v>3027</v>
      </c>
      <c r="C253" s="27" t="s">
        <v>2998</v>
      </c>
      <c r="D253" s="162" t="s">
        <v>3028</v>
      </c>
      <c r="E253" s="69">
        <v>6.0</v>
      </c>
      <c r="F253" s="29" t="s">
        <v>15</v>
      </c>
      <c r="G253" s="25">
        <v>3800.0</v>
      </c>
      <c r="H253" s="2"/>
      <c r="I253" s="2"/>
      <c r="J253" s="2"/>
      <c r="K253" s="2"/>
      <c r="L253" s="2"/>
      <c r="M253" s="2"/>
      <c r="N253" s="2"/>
    </row>
    <row r="254" ht="24.0" hidden="1" customHeight="1">
      <c r="A254" s="27" t="s">
        <v>3034</v>
      </c>
      <c r="B254" s="27" t="s">
        <v>3035</v>
      </c>
      <c r="C254" s="27" t="s">
        <v>3036</v>
      </c>
      <c r="D254" s="32"/>
      <c r="E254" s="69"/>
      <c r="F254" s="29"/>
      <c r="G254" s="25"/>
      <c r="H254" s="2"/>
      <c r="I254" s="2"/>
      <c r="J254" s="2"/>
      <c r="K254" s="2"/>
      <c r="L254" s="2"/>
      <c r="M254" s="2"/>
      <c r="N254" s="2"/>
    </row>
    <row r="255" ht="24.0" customHeight="1">
      <c r="A255" s="27" t="s">
        <v>3037</v>
      </c>
      <c r="B255" s="27" t="s">
        <v>3038</v>
      </c>
      <c r="C255" s="27" t="s">
        <v>3039</v>
      </c>
      <c r="D255" s="32" t="s">
        <v>3040</v>
      </c>
      <c r="E255" s="69">
        <v>2.0</v>
      </c>
      <c r="F255" s="29" t="s">
        <v>15</v>
      </c>
      <c r="G255" s="25">
        <v>1500.0</v>
      </c>
      <c r="H255" s="2"/>
      <c r="I255" s="2"/>
      <c r="J255" s="2"/>
      <c r="K255" s="2"/>
      <c r="L255" s="2"/>
      <c r="M255" s="2"/>
      <c r="N255" s="2"/>
    </row>
    <row r="256" ht="24.0" customHeight="1">
      <c r="A256" s="27" t="s">
        <v>3041</v>
      </c>
      <c r="B256" s="27" t="s">
        <v>3042</v>
      </c>
      <c r="C256" s="27" t="s">
        <v>3043</v>
      </c>
      <c r="D256" s="32" t="s">
        <v>3044</v>
      </c>
      <c r="E256" s="69">
        <v>98.0</v>
      </c>
      <c r="F256" s="29" t="s">
        <v>15</v>
      </c>
      <c r="G256" s="25">
        <v>1450.0</v>
      </c>
      <c r="H256" s="2"/>
      <c r="I256" s="2"/>
      <c r="J256" s="2"/>
      <c r="K256" s="2"/>
      <c r="L256" s="2"/>
      <c r="M256" s="2"/>
      <c r="N256" s="2"/>
    </row>
    <row r="257" ht="24.0" hidden="1" customHeight="1">
      <c r="A257" s="27" t="s">
        <v>3045</v>
      </c>
      <c r="B257" s="60" t="s">
        <v>3046</v>
      </c>
      <c r="C257" s="27" t="s">
        <v>3047</v>
      </c>
      <c r="D257" s="162" t="s">
        <v>3048</v>
      </c>
      <c r="E257" s="69"/>
      <c r="F257" s="29"/>
      <c r="G257" s="25">
        <v>1800.0</v>
      </c>
      <c r="H257" s="2"/>
      <c r="I257" s="2"/>
      <c r="J257" s="2"/>
      <c r="K257" s="2"/>
      <c r="L257" s="2"/>
      <c r="M257" s="2"/>
      <c r="N257" s="2"/>
    </row>
    <row r="258" ht="24.0" customHeight="1">
      <c r="A258" s="27" t="s">
        <v>3049</v>
      </c>
      <c r="B258" s="27" t="s">
        <v>3050</v>
      </c>
      <c r="C258" s="27" t="s">
        <v>3051</v>
      </c>
      <c r="D258" s="32" t="s">
        <v>3052</v>
      </c>
      <c r="E258" s="69">
        <v>45.0</v>
      </c>
      <c r="F258" s="29" t="s">
        <v>15</v>
      </c>
      <c r="G258" s="25">
        <v>1900.0</v>
      </c>
      <c r="H258" s="2"/>
      <c r="I258" s="2"/>
      <c r="J258" s="2"/>
      <c r="K258" s="2"/>
      <c r="L258" s="2"/>
      <c r="M258" s="2"/>
      <c r="N258" s="2"/>
    </row>
    <row r="259" ht="24.0" customHeight="1">
      <c r="A259" s="27" t="s">
        <v>3053</v>
      </c>
      <c r="B259" s="27" t="s">
        <v>3054</v>
      </c>
      <c r="C259" s="27" t="s">
        <v>3055</v>
      </c>
      <c r="D259" s="32" t="s">
        <v>3056</v>
      </c>
      <c r="E259" s="69">
        <v>43.0</v>
      </c>
      <c r="F259" s="29" t="s">
        <v>15</v>
      </c>
      <c r="G259" s="25">
        <v>2000.0</v>
      </c>
      <c r="H259" s="2"/>
      <c r="I259" s="2"/>
      <c r="J259" s="2"/>
      <c r="K259" s="2"/>
      <c r="L259" s="2"/>
      <c r="M259" s="2"/>
      <c r="N259" s="2"/>
    </row>
    <row r="260" ht="24.0" customHeight="1">
      <c r="A260" s="27" t="s">
        <v>3057</v>
      </c>
      <c r="B260" s="27" t="s">
        <v>3058</v>
      </c>
      <c r="C260" s="27" t="s">
        <v>3055</v>
      </c>
      <c r="D260" s="62" t="s">
        <v>3059</v>
      </c>
      <c r="E260" s="69">
        <v>40.0</v>
      </c>
      <c r="F260" s="29" t="s">
        <v>15</v>
      </c>
      <c r="G260" s="25">
        <v>1700.0</v>
      </c>
      <c r="H260" s="2"/>
      <c r="I260" s="2"/>
      <c r="J260" s="2"/>
      <c r="K260" s="2"/>
      <c r="L260" s="2"/>
      <c r="M260" s="2"/>
      <c r="N260" s="2"/>
    </row>
    <row r="261" ht="24.0" customHeight="1">
      <c r="A261" s="53" t="s">
        <v>3060</v>
      </c>
      <c r="B261" s="60" t="s">
        <v>3061</v>
      </c>
      <c r="C261" s="22" t="s">
        <v>3055</v>
      </c>
      <c r="D261" s="52" t="s">
        <v>3062</v>
      </c>
      <c r="E261" s="69">
        <v>24.0</v>
      </c>
      <c r="F261" s="29" t="s">
        <v>15</v>
      </c>
      <c r="G261" s="33">
        <v>1350.0</v>
      </c>
      <c r="H261" s="2"/>
      <c r="I261" s="2"/>
      <c r="J261" s="2"/>
      <c r="K261" s="2"/>
      <c r="L261" s="2"/>
      <c r="M261" s="2"/>
      <c r="N261" s="2"/>
    </row>
    <row r="262" ht="24.0" customHeight="1">
      <c r="A262" s="53" t="s">
        <v>3063</v>
      </c>
      <c r="B262" s="60" t="s">
        <v>3064</v>
      </c>
      <c r="C262" s="22" t="s">
        <v>3065</v>
      </c>
      <c r="D262" s="52" t="s">
        <v>3066</v>
      </c>
      <c r="E262" s="165">
        <v>18.0</v>
      </c>
      <c r="F262" s="34" t="s">
        <v>15</v>
      </c>
      <c r="G262" s="33">
        <v>1100.0</v>
      </c>
      <c r="H262" s="2"/>
      <c r="I262" s="2"/>
      <c r="J262" s="2"/>
      <c r="K262" s="2"/>
      <c r="L262" s="2"/>
      <c r="M262" s="2"/>
      <c r="N262" s="2"/>
    </row>
    <row r="263" ht="24.0" hidden="1" customHeight="1">
      <c r="A263" s="27" t="s">
        <v>3067</v>
      </c>
      <c r="B263" s="22" t="s">
        <v>3068</v>
      </c>
      <c r="C263" s="27" t="s">
        <v>3069</v>
      </c>
      <c r="D263" s="32"/>
      <c r="E263" s="69"/>
      <c r="F263" s="29"/>
      <c r="G263" s="25"/>
      <c r="H263" s="2"/>
      <c r="I263" s="2"/>
      <c r="J263" s="2"/>
      <c r="K263" s="2"/>
      <c r="L263" s="2"/>
      <c r="M263" s="2"/>
      <c r="N263" s="2"/>
    </row>
    <row r="264" ht="24.0" hidden="1" customHeight="1">
      <c r="A264" s="27" t="s">
        <v>3070</v>
      </c>
      <c r="B264" s="22" t="s">
        <v>3071</v>
      </c>
      <c r="C264" s="27" t="s">
        <v>3072</v>
      </c>
      <c r="D264" s="32" t="s">
        <v>2983</v>
      </c>
      <c r="E264" s="69"/>
      <c r="F264" s="29"/>
      <c r="G264" s="25">
        <v>3660.0</v>
      </c>
      <c r="H264" s="2"/>
      <c r="I264" s="2"/>
      <c r="J264" s="2"/>
      <c r="K264" s="2"/>
      <c r="L264" s="2"/>
      <c r="M264" s="2"/>
      <c r="N264" s="2"/>
    </row>
    <row r="265" ht="24.0" hidden="1" customHeight="1">
      <c r="A265" s="53" t="s">
        <v>3073</v>
      </c>
      <c r="B265" s="60" t="s">
        <v>3074</v>
      </c>
      <c r="C265" s="22" t="s">
        <v>3075</v>
      </c>
      <c r="D265" s="32" t="s">
        <v>2416</v>
      </c>
      <c r="E265" s="69"/>
      <c r="F265" s="29"/>
      <c r="G265" s="33">
        <v>3000.0</v>
      </c>
      <c r="H265" s="2"/>
      <c r="I265" s="2"/>
      <c r="J265" s="2"/>
      <c r="K265" s="2"/>
      <c r="L265" s="2"/>
      <c r="M265" s="2"/>
      <c r="N265" s="2"/>
    </row>
    <row r="266" ht="24.0" customHeight="1">
      <c r="A266" s="53" t="s">
        <v>3076</v>
      </c>
      <c r="B266" s="60" t="s">
        <v>3077</v>
      </c>
      <c r="C266" s="22" t="s">
        <v>3078</v>
      </c>
      <c r="D266" s="32" t="s">
        <v>3079</v>
      </c>
      <c r="E266" s="165">
        <v>48.0</v>
      </c>
      <c r="F266" s="34" t="s">
        <v>15</v>
      </c>
      <c r="G266" s="33">
        <v>1400.0</v>
      </c>
      <c r="H266" s="2"/>
      <c r="I266" s="2"/>
      <c r="J266" s="2"/>
      <c r="K266" s="2"/>
      <c r="L266" s="2"/>
      <c r="M266" s="2"/>
      <c r="N266" s="2"/>
    </row>
    <row r="267" ht="15.75" hidden="1" customHeight="1">
      <c r="A267" s="22" t="s">
        <v>3080</v>
      </c>
      <c r="B267" s="22" t="s">
        <v>3081</v>
      </c>
      <c r="C267" s="27" t="s">
        <v>3082</v>
      </c>
      <c r="D267" s="52" t="s">
        <v>3083</v>
      </c>
      <c r="E267" s="69"/>
      <c r="F267" s="29"/>
      <c r="G267" s="25">
        <v>1200.0</v>
      </c>
      <c r="H267" s="168"/>
      <c r="I267" s="168"/>
      <c r="J267" s="168"/>
      <c r="K267" s="168"/>
      <c r="L267" s="168"/>
      <c r="M267" s="168"/>
      <c r="N267" s="168"/>
    </row>
    <row r="268" ht="24.0" customHeight="1">
      <c r="A268" s="53" t="s">
        <v>3084</v>
      </c>
      <c r="B268" s="60" t="s">
        <v>3085</v>
      </c>
      <c r="C268" s="22" t="s">
        <v>3082</v>
      </c>
      <c r="D268" s="52" t="s">
        <v>3086</v>
      </c>
      <c r="E268" s="165">
        <v>54.0</v>
      </c>
      <c r="F268" s="34" t="s">
        <v>15</v>
      </c>
      <c r="G268" s="33">
        <v>1100.0</v>
      </c>
      <c r="H268" s="2"/>
      <c r="I268" s="2"/>
      <c r="J268" s="2"/>
      <c r="K268" s="2"/>
      <c r="L268" s="2"/>
      <c r="M268" s="2"/>
      <c r="N268" s="2"/>
    </row>
    <row r="269" ht="24.0" hidden="1" customHeight="1">
      <c r="A269" s="27" t="s">
        <v>3087</v>
      </c>
      <c r="B269" s="27" t="s">
        <v>3088</v>
      </c>
      <c r="C269" s="27" t="s">
        <v>3089</v>
      </c>
      <c r="D269" s="62" t="s">
        <v>1128</v>
      </c>
      <c r="E269" s="69"/>
      <c r="F269" s="29"/>
      <c r="G269" s="25">
        <v>2250.0</v>
      </c>
      <c r="H269" s="2"/>
      <c r="I269" s="2"/>
      <c r="J269" s="2"/>
      <c r="K269" s="2"/>
      <c r="L269" s="2"/>
      <c r="M269" s="2"/>
      <c r="N269" s="2"/>
    </row>
    <row r="270" ht="24.0" customHeight="1">
      <c r="A270" s="53" t="s">
        <v>3090</v>
      </c>
      <c r="B270" s="34" t="s">
        <v>3091</v>
      </c>
      <c r="C270" s="22" t="s">
        <v>3092</v>
      </c>
      <c r="D270" s="32" t="s">
        <v>1128</v>
      </c>
      <c r="E270" s="165">
        <v>22.0</v>
      </c>
      <c r="F270" s="34" t="s">
        <v>15</v>
      </c>
      <c r="G270" s="33">
        <v>2250.0</v>
      </c>
      <c r="H270" s="2"/>
      <c r="I270" s="2"/>
      <c r="J270" s="2"/>
      <c r="K270" s="2"/>
      <c r="L270" s="2"/>
      <c r="M270" s="2"/>
      <c r="N270" s="2"/>
    </row>
    <row r="271" ht="24.0" customHeight="1">
      <c r="A271" s="53" t="s">
        <v>3093</v>
      </c>
      <c r="B271" s="60" t="s">
        <v>3094</v>
      </c>
      <c r="C271" s="22" t="s">
        <v>3095</v>
      </c>
      <c r="D271" s="32" t="s">
        <v>3096</v>
      </c>
      <c r="E271" s="165">
        <v>9.0</v>
      </c>
      <c r="F271" s="34" t="s">
        <v>15</v>
      </c>
      <c r="G271" s="33">
        <v>2000.0</v>
      </c>
      <c r="H271" s="2"/>
      <c r="I271" s="2"/>
      <c r="J271" s="2"/>
      <c r="K271" s="2"/>
      <c r="L271" s="2"/>
      <c r="M271" s="2"/>
      <c r="N271" s="2"/>
    </row>
    <row r="272" ht="24.0" customHeight="1">
      <c r="A272" s="53" t="s">
        <v>3097</v>
      </c>
      <c r="B272" s="164" t="s">
        <v>3098</v>
      </c>
      <c r="C272" s="22" t="s">
        <v>3099</v>
      </c>
      <c r="D272" s="32" t="s">
        <v>3096</v>
      </c>
      <c r="E272" s="69">
        <v>8.0</v>
      </c>
      <c r="F272" s="29" t="s">
        <v>15</v>
      </c>
      <c r="G272" s="33">
        <v>2100.0</v>
      </c>
      <c r="H272" s="2"/>
      <c r="I272" s="2"/>
      <c r="J272" s="2"/>
      <c r="K272" s="2"/>
      <c r="L272" s="2"/>
      <c r="M272" s="2"/>
      <c r="N272" s="2"/>
    </row>
    <row r="273" ht="24.0" hidden="1" customHeight="1">
      <c r="A273" s="27" t="s">
        <v>3100</v>
      </c>
      <c r="B273" s="27" t="s">
        <v>3101</v>
      </c>
      <c r="C273" s="27" t="s">
        <v>3095</v>
      </c>
      <c r="D273" s="62" t="s">
        <v>1128</v>
      </c>
      <c r="E273" s="69"/>
      <c r="F273" s="29"/>
      <c r="G273" s="25">
        <v>2160.0</v>
      </c>
      <c r="H273" s="2"/>
      <c r="I273" s="2"/>
      <c r="J273" s="2"/>
      <c r="K273" s="2"/>
      <c r="L273" s="2"/>
      <c r="M273" s="2"/>
      <c r="N273" s="2"/>
    </row>
    <row r="274" ht="24.0" customHeight="1">
      <c r="A274" s="53" t="s">
        <v>3102</v>
      </c>
      <c r="B274" s="60" t="s">
        <v>3103</v>
      </c>
      <c r="C274" s="22" t="s">
        <v>3095</v>
      </c>
      <c r="D274" s="32" t="s">
        <v>3096</v>
      </c>
      <c r="E274" s="165">
        <v>34.0</v>
      </c>
      <c r="F274" s="34" t="s">
        <v>15</v>
      </c>
      <c r="G274" s="33">
        <v>2000.0</v>
      </c>
      <c r="H274" s="2"/>
      <c r="I274" s="2"/>
      <c r="J274" s="2"/>
      <c r="K274" s="2"/>
      <c r="L274" s="2"/>
      <c r="M274" s="2"/>
      <c r="N274" s="2"/>
    </row>
    <row r="275" ht="24.0" customHeight="1">
      <c r="A275" s="53" t="s">
        <v>3104</v>
      </c>
      <c r="B275" s="60" t="s">
        <v>3105</v>
      </c>
      <c r="C275" s="22" t="s">
        <v>3106</v>
      </c>
      <c r="D275" s="32" t="s">
        <v>3096</v>
      </c>
      <c r="E275" s="69">
        <v>16.0</v>
      </c>
      <c r="F275" s="29" t="s">
        <v>15</v>
      </c>
      <c r="G275" s="33">
        <v>2100.0</v>
      </c>
      <c r="H275" s="2"/>
      <c r="I275" s="2"/>
      <c r="J275" s="2"/>
      <c r="K275" s="2"/>
      <c r="L275" s="2"/>
      <c r="M275" s="2"/>
      <c r="N275" s="2"/>
    </row>
    <row r="276" ht="24.0" customHeight="1">
      <c r="A276" s="53" t="s">
        <v>3107</v>
      </c>
      <c r="B276" s="60" t="s">
        <v>3108</v>
      </c>
      <c r="C276" s="22" t="s">
        <v>3095</v>
      </c>
      <c r="D276" s="32" t="s">
        <v>3096</v>
      </c>
      <c r="E276" s="165">
        <v>18.0</v>
      </c>
      <c r="F276" s="34" t="s">
        <v>15</v>
      </c>
      <c r="G276" s="33">
        <v>2000.0</v>
      </c>
      <c r="H276" s="2"/>
      <c r="I276" s="2"/>
      <c r="J276" s="2"/>
      <c r="K276" s="2"/>
      <c r="L276" s="2"/>
      <c r="M276" s="2"/>
      <c r="N276" s="2"/>
    </row>
    <row r="277" ht="24.0" customHeight="1">
      <c r="A277" s="53" t="s">
        <v>3109</v>
      </c>
      <c r="B277" s="60" t="s">
        <v>3110</v>
      </c>
      <c r="C277" s="22" t="s">
        <v>3095</v>
      </c>
      <c r="D277" s="32" t="s">
        <v>3096</v>
      </c>
      <c r="E277" s="165">
        <v>18.0</v>
      </c>
      <c r="F277" s="34" t="s">
        <v>15</v>
      </c>
      <c r="G277" s="33">
        <v>2000.0</v>
      </c>
      <c r="H277" s="2"/>
      <c r="I277" s="2"/>
      <c r="J277" s="2"/>
      <c r="K277" s="2"/>
      <c r="L277" s="2"/>
      <c r="M277" s="2"/>
      <c r="N277" s="2"/>
    </row>
    <row r="278" ht="24.0" customHeight="1">
      <c r="A278" s="53" t="s">
        <v>3111</v>
      </c>
      <c r="B278" s="60" t="s">
        <v>3112</v>
      </c>
      <c r="C278" s="22" t="s">
        <v>3095</v>
      </c>
      <c r="D278" s="52" t="s">
        <v>3113</v>
      </c>
      <c r="E278" s="165">
        <v>12.0</v>
      </c>
      <c r="F278" s="34" t="s">
        <v>15</v>
      </c>
      <c r="G278" s="33">
        <v>2070.0</v>
      </c>
      <c r="H278" s="2"/>
      <c r="I278" s="2"/>
      <c r="J278" s="2"/>
      <c r="K278" s="2"/>
      <c r="L278" s="2"/>
      <c r="M278" s="2"/>
      <c r="N278" s="2"/>
    </row>
    <row r="279" ht="24.0" customHeight="1">
      <c r="A279" s="53" t="s">
        <v>3114</v>
      </c>
      <c r="B279" s="60" t="s">
        <v>3115</v>
      </c>
      <c r="C279" s="22" t="s">
        <v>3095</v>
      </c>
      <c r="D279" s="52" t="s">
        <v>3113</v>
      </c>
      <c r="E279" s="69">
        <v>12.0</v>
      </c>
      <c r="F279" s="29" t="s">
        <v>15</v>
      </c>
      <c r="G279" s="33">
        <v>2070.0</v>
      </c>
      <c r="H279" s="2"/>
      <c r="I279" s="2"/>
      <c r="J279" s="2"/>
      <c r="K279" s="2"/>
      <c r="L279" s="2"/>
      <c r="M279" s="2"/>
      <c r="N279" s="2"/>
    </row>
    <row r="280" ht="24.0" customHeight="1">
      <c r="A280" s="53" t="s">
        <v>3116</v>
      </c>
      <c r="B280" s="60" t="s">
        <v>3117</v>
      </c>
      <c r="C280" s="22" t="s">
        <v>3095</v>
      </c>
      <c r="D280" s="52" t="s">
        <v>3113</v>
      </c>
      <c r="E280" s="165">
        <v>24.0</v>
      </c>
      <c r="F280" s="34" t="s">
        <v>15</v>
      </c>
      <c r="G280" s="33">
        <v>2070.0</v>
      </c>
      <c r="H280" s="2"/>
      <c r="I280" s="2"/>
      <c r="J280" s="2"/>
      <c r="K280" s="2"/>
      <c r="L280" s="2"/>
      <c r="M280" s="2"/>
      <c r="N280" s="2"/>
    </row>
    <row r="281" ht="24.0" hidden="1" customHeight="1">
      <c r="A281" s="27" t="s">
        <v>3118</v>
      </c>
      <c r="B281" s="27" t="s">
        <v>3119</v>
      </c>
      <c r="C281" s="27" t="s">
        <v>3120</v>
      </c>
      <c r="D281" s="32"/>
      <c r="E281" s="69"/>
      <c r="F281" s="29"/>
      <c r="G281" s="25"/>
      <c r="H281" s="2"/>
      <c r="I281" s="2"/>
      <c r="J281" s="2"/>
      <c r="K281" s="2"/>
      <c r="L281" s="2"/>
      <c r="M281" s="2"/>
      <c r="N281" s="2"/>
    </row>
    <row r="282" ht="24.0" customHeight="1">
      <c r="A282" s="38" t="s">
        <v>3121</v>
      </c>
      <c r="B282" s="60" t="s">
        <v>3122</v>
      </c>
      <c r="C282" s="22" t="s">
        <v>3123</v>
      </c>
      <c r="D282" s="52" t="s">
        <v>3124</v>
      </c>
      <c r="E282" s="69">
        <v>12.0</v>
      </c>
      <c r="F282" s="29" t="s">
        <v>15</v>
      </c>
      <c r="G282" s="33">
        <v>2450.0</v>
      </c>
      <c r="H282" s="2"/>
      <c r="I282" s="2"/>
      <c r="J282" s="2"/>
      <c r="K282" s="2"/>
      <c r="L282" s="2"/>
      <c r="M282" s="2"/>
      <c r="N282" s="2"/>
    </row>
    <row r="283" ht="15.75" hidden="1" customHeight="1">
      <c r="A283" s="27" t="s">
        <v>3125</v>
      </c>
      <c r="B283" s="27" t="s">
        <v>3126</v>
      </c>
      <c r="C283" s="53" t="s">
        <v>3127</v>
      </c>
      <c r="D283" s="32" t="s">
        <v>3128</v>
      </c>
      <c r="E283" s="69"/>
      <c r="F283" s="29"/>
      <c r="G283" s="25">
        <v>2200.0</v>
      </c>
      <c r="H283" s="2"/>
      <c r="I283" s="2"/>
      <c r="J283" s="2"/>
      <c r="K283" s="2"/>
      <c r="L283" s="2"/>
      <c r="M283" s="2"/>
      <c r="N283" s="2"/>
    </row>
    <row r="284" ht="24.0" hidden="1" customHeight="1">
      <c r="A284" s="27" t="s">
        <v>3129</v>
      </c>
      <c r="B284" s="5" t="s">
        <v>3130</v>
      </c>
      <c r="C284" s="27" t="s">
        <v>3131</v>
      </c>
      <c r="D284" s="32"/>
      <c r="E284" s="69"/>
      <c r="F284" s="29"/>
      <c r="G284" s="25"/>
      <c r="H284" s="2"/>
      <c r="I284" s="2"/>
      <c r="J284" s="2"/>
      <c r="K284" s="2"/>
      <c r="L284" s="2"/>
      <c r="M284" s="2"/>
      <c r="N284" s="2"/>
    </row>
    <row r="285" ht="24.0" hidden="1" customHeight="1">
      <c r="A285" s="27" t="s">
        <v>3132</v>
      </c>
      <c r="B285" s="5" t="s">
        <v>3133</v>
      </c>
      <c r="C285" s="27"/>
      <c r="D285" s="32"/>
      <c r="E285" s="69"/>
      <c r="F285" s="29"/>
      <c r="G285" s="25"/>
      <c r="H285" s="2"/>
      <c r="I285" s="2"/>
      <c r="J285" s="2"/>
      <c r="K285" s="2"/>
      <c r="L285" s="2"/>
      <c r="M285" s="2"/>
      <c r="N285" s="2"/>
    </row>
    <row r="286" ht="24.0" hidden="1" customHeight="1">
      <c r="A286" s="22" t="s">
        <v>3134</v>
      </c>
      <c r="B286" s="53" t="s">
        <v>3135</v>
      </c>
      <c r="C286" s="27" t="s">
        <v>3136</v>
      </c>
      <c r="D286" s="62" t="s">
        <v>3137</v>
      </c>
      <c r="E286" s="69"/>
      <c r="F286" s="29"/>
      <c r="G286" s="25">
        <v>1080.0</v>
      </c>
      <c r="H286" s="2"/>
      <c r="I286" s="2"/>
      <c r="J286" s="2"/>
      <c r="K286" s="2"/>
      <c r="L286" s="2"/>
      <c r="M286" s="2"/>
      <c r="N286" s="2"/>
    </row>
    <row r="287" ht="24.0" hidden="1" customHeight="1">
      <c r="A287" s="22" t="s">
        <v>3138</v>
      </c>
      <c r="B287" s="60" t="s">
        <v>3139</v>
      </c>
      <c r="C287" s="27" t="s">
        <v>3140</v>
      </c>
      <c r="D287" s="162" t="s">
        <v>3141</v>
      </c>
      <c r="E287" s="69"/>
      <c r="F287" s="29"/>
      <c r="G287" s="25">
        <v>1400.0</v>
      </c>
      <c r="H287" s="144"/>
      <c r="I287" s="2"/>
      <c r="J287" s="2"/>
      <c r="K287" s="2"/>
      <c r="L287" s="2"/>
      <c r="M287" s="2"/>
      <c r="N287" s="2"/>
    </row>
    <row r="288" ht="24.0" customHeight="1">
      <c r="A288" s="53" t="s">
        <v>3142</v>
      </c>
      <c r="B288" s="60" t="s">
        <v>3143</v>
      </c>
      <c r="C288" s="22" t="s">
        <v>3140</v>
      </c>
      <c r="D288" s="52" t="s">
        <v>3144</v>
      </c>
      <c r="E288" s="69">
        <v>5.0</v>
      </c>
      <c r="F288" s="29" t="s">
        <v>15</v>
      </c>
      <c r="G288" s="33">
        <v>1300.0</v>
      </c>
      <c r="H288" s="2"/>
      <c r="I288" s="2"/>
      <c r="J288" s="2"/>
      <c r="K288" s="2"/>
      <c r="L288" s="2"/>
      <c r="M288" s="2"/>
      <c r="N288" s="2"/>
    </row>
    <row r="289" ht="24.0" hidden="1" customHeight="1">
      <c r="A289" s="2"/>
      <c r="B289" s="2"/>
      <c r="C289" s="2"/>
      <c r="D289" s="32"/>
      <c r="E289" s="4"/>
      <c r="F289" s="5"/>
      <c r="G289" s="25"/>
      <c r="H289" s="2"/>
      <c r="I289" s="2"/>
      <c r="J289" s="2"/>
      <c r="K289" s="2"/>
      <c r="L289" s="2"/>
      <c r="M289" s="2"/>
      <c r="N289" s="2"/>
    </row>
    <row r="290" ht="31.5" hidden="1" customHeight="1">
      <c r="A290" s="161" t="s">
        <v>3145</v>
      </c>
      <c r="B290" s="13"/>
      <c r="C290" s="13"/>
      <c r="D290" s="12"/>
      <c r="E290" s="20"/>
      <c r="F290" s="21"/>
      <c r="G290" s="159"/>
      <c r="H290" s="2"/>
      <c r="I290" s="2"/>
      <c r="J290" s="2"/>
      <c r="K290" s="2"/>
      <c r="L290" s="2"/>
      <c r="M290" s="2"/>
      <c r="N290" s="2"/>
    </row>
    <row r="291" ht="24.0" customHeight="1">
      <c r="A291" s="21" t="s">
        <v>0</v>
      </c>
      <c r="B291" s="21" t="s">
        <v>1</v>
      </c>
      <c r="C291" s="21" t="s">
        <v>2</v>
      </c>
      <c r="D291" s="11" t="s">
        <v>3</v>
      </c>
      <c r="E291" s="11" t="s">
        <v>2307</v>
      </c>
      <c r="F291" s="13"/>
      <c r="G291" s="159" t="s">
        <v>5</v>
      </c>
      <c r="H291" s="2"/>
      <c r="I291" s="2"/>
      <c r="J291" s="2"/>
      <c r="K291" s="2"/>
      <c r="L291" s="2"/>
      <c r="M291" s="2"/>
      <c r="N291" s="2"/>
    </row>
    <row r="292" ht="24.0" hidden="1" customHeight="1">
      <c r="A292" s="60" t="s">
        <v>3146</v>
      </c>
      <c r="B292" s="145" t="s">
        <v>3147</v>
      </c>
      <c r="C292" s="22" t="s">
        <v>3148</v>
      </c>
      <c r="D292" s="32"/>
      <c r="E292" s="4"/>
      <c r="F292" s="5"/>
      <c r="G292" s="25">
        <v>3250.0</v>
      </c>
      <c r="H292" s="2"/>
      <c r="I292" s="2"/>
      <c r="J292" s="2"/>
      <c r="K292" s="2"/>
      <c r="L292" s="2"/>
      <c r="M292" s="2"/>
      <c r="N292" s="2"/>
    </row>
    <row r="293" ht="24.0" hidden="1" customHeight="1">
      <c r="A293" s="60" t="s">
        <v>3149</v>
      </c>
      <c r="B293" s="145" t="s">
        <v>3150</v>
      </c>
      <c r="C293" s="22" t="s">
        <v>3151</v>
      </c>
      <c r="D293" s="32" t="s">
        <v>413</v>
      </c>
      <c r="E293" s="4"/>
      <c r="F293" s="5"/>
      <c r="G293" s="25">
        <v>8980.0</v>
      </c>
      <c r="H293" s="2"/>
      <c r="I293" s="2"/>
      <c r="J293" s="2"/>
      <c r="K293" s="2"/>
      <c r="L293" s="2"/>
      <c r="M293" s="2"/>
      <c r="N293" s="2"/>
    </row>
    <row r="294" ht="24.0" hidden="1" customHeight="1">
      <c r="A294" s="60" t="s">
        <v>3152</v>
      </c>
      <c r="B294" s="145" t="s">
        <v>3153</v>
      </c>
      <c r="C294" s="22" t="s">
        <v>3154</v>
      </c>
      <c r="D294" s="32" t="s">
        <v>1207</v>
      </c>
      <c r="E294" s="4"/>
      <c r="F294" s="5"/>
      <c r="G294" s="25">
        <v>12000.0</v>
      </c>
      <c r="H294" s="2"/>
      <c r="I294" s="2"/>
      <c r="J294" s="2"/>
      <c r="K294" s="2"/>
      <c r="L294" s="2"/>
      <c r="M294" s="2"/>
      <c r="N294" s="2"/>
    </row>
    <row r="295" ht="24.0" hidden="1" customHeight="1">
      <c r="A295" s="60" t="s">
        <v>3155</v>
      </c>
      <c r="B295" s="145" t="s">
        <v>3156</v>
      </c>
      <c r="C295" s="22" t="s">
        <v>3157</v>
      </c>
      <c r="D295" s="32" t="s">
        <v>1367</v>
      </c>
      <c r="E295" s="4"/>
      <c r="F295" s="5"/>
      <c r="G295" s="25">
        <v>2680.0</v>
      </c>
      <c r="H295" s="2"/>
      <c r="I295" s="2"/>
      <c r="J295" s="2"/>
      <c r="K295" s="2"/>
      <c r="L295" s="2"/>
      <c r="M295" s="2"/>
      <c r="N295" s="2"/>
    </row>
    <row r="296" ht="24.0" customHeight="1">
      <c r="A296" s="178" t="s">
        <v>3158</v>
      </c>
      <c r="B296" s="178" t="s">
        <v>3159</v>
      </c>
      <c r="C296" s="178" t="s">
        <v>3160</v>
      </c>
      <c r="D296" s="179"/>
      <c r="E296" s="171">
        <v>3.0</v>
      </c>
      <c r="F296" s="172" t="s">
        <v>15</v>
      </c>
      <c r="G296" s="173"/>
      <c r="H296" s="180"/>
      <c r="I296" s="180"/>
      <c r="J296" s="180"/>
      <c r="K296" s="180"/>
      <c r="L296" s="180"/>
      <c r="M296" s="180"/>
      <c r="N296" s="180"/>
    </row>
    <row r="297" ht="24.0" hidden="1" customHeight="1">
      <c r="A297" s="2"/>
      <c r="B297" s="2"/>
      <c r="C297" s="2"/>
      <c r="D297" s="3"/>
      <c r="E297" s="4"/>
      <c r="F297" s="5"/>
      <c r="G297" s="31"/>
      <c r="H297" s="2"/>
      <c r="I297" s="2"/>
      <c r="J297" s="2"/>
      <c r="K297" s="2"/>
      <c r="L297" s="2"/>
      <c r="M297" s="2"/>
      <c r="N297" s="2"/>
    </row>
    <row r="298" ht="31.5" hidden="1" customHeight="1">
      <c r="A298" s="161" t="s">
        <v>3161</v>
      </c>
      <c r="B298" s="13"/>
      <c r="C298" s="13"/>
      <c r="D298" s="12"/>
      <c r="E298" s="20"/>
      <c r="F298" s="21"/>
      <c r="G298" s="159"/>
      <c r="H298" s="2"/>
      <c r="I298" s="2"/>
      <c r="J298" s="2"/>
      <c r="K298" s="2"/>
      <c r="L298" s="2"/>
      <c r="M298" s="2"/>
      <c r="N298" s="2"/>
    </row>
    <row r="299" ht="24.0" customHeight="1">
      <c r="A299" s="21" t="s">
        <v>0</v>
      </c>
      <c r="B299" s="21" t="s">
        <v>1</v>
      </c>
      <c r="C299" s="21" t="s">
        <v>2</v>
      </c>
      <c r="D299" s="11" t="s">
        <v>3</v>
      </c>
      <c r="E299" s="11" t="s">
        <v>2307</v>
      </c>
      <c r="F299" s="13"/>
      <c r="G299" s="159" t="s">
        <v>5</v>
      </c>
      <c r="H299" s="2"/>
      <c r="I299" s="2"/>
      <c r="J299" s="2"/>
      <c r="K299" s="2"/>
      <c r="L299" s="2"/>
      <c r="M299" s="2"/>
      <c r="N299" s="2"/>
    </row>
    <row r="300" ht="24.0" customHeight="1">
      <c r="A300" s="178" t="s">
        <v>3162</v>
      </c>
      <c r="B300" s="178" t="s">
        <v>3163</v>
      </c>
      <c r="C300" s="169" t="s">
        <v>3164</v>
      </c>
      <c r="D300" s="179" t="s">
        <v>1207</v>
      </c>
      <c r="E300" s="181">
        <v>1.0</v>
      </c>
      <c r="F300" s="182" t="s">
        <v>15</v>
      </c>
      <c r="G300" s="173">
        <v>38000.0</v>
      </c>
      <c r="H300" s="174"/>
      <c r="I300" s="174"/>
      <c r="J300" s="174"/>
      <c r="K300" s="174"/>
      <c r="L300" s="174"/>
      <c r="M300" s="174"/>
      <c r="N300" s="174"/>
    </row>
    <row r="301" ht="24.0" customHeight="1">
      <c r="A301" s="22" t="s">
        <v>3165</v>
      </c>
      <c r="B301" s="22" t="s">
        <v>3166</v>
      </c>
      <c r="C301" s="27" t="s">
        <v>3167</v>
      </c>
      <c r="D301" s="50" t="s">
        <v>3168</v>
      </c>
      <c r="E301" s="69">
        <v>3.0</v>
      </c>
      <c r="F301" s="29" t="s">
        <v>15</v>
      </c>
      <c r="G301" s="25">
        <v>36000.0</v>
      </c>
      <c r="H301" s="2"/>
      <c r="I301" s="2"/>
      <c r="J301" s="2"/>
      <c r="K301" s="2"/>
      <c r="L301" s="2"/>
      <c r="M301" s="2"/>
      <c r="N301" s="2"/>
    </row>
    <row r="302" ht="24.0" customHeight="1">
      <c r="A302" s="22" t="s">
        <v>3169</v>
      </c>
      <c r="B302" s="22" t="s">
        <v>3170</v>
      </c>
      <c r="C302" s="27" t="s">
        <v>3171</v>
      </c>
      <c r="D302" s="51" t="s">
        <v>3172</v>
      </c>
      <c r="E302" s="69">
        <v>3.0</v>
      </c>
      <c r="F302" s="29" t="s">
        <v>15</v>
      </c>
      <c r="G302" s="25">
        <v>32850.0</v>
      </c>
      <c r="H302" s="2"/>
      <c r="I302" s="2"/>
      <c r="J302" s="2"/>
      <c r="K302" s="2"/>
      <c r="L302" s="2"/>
      <c r="M302" s="2"/>
      <c r="N302" s="2"/>
    </row>
    <row r="303" ht="24.0" customHeight="1">
      <c r="A303" s="53" t="s">
        <v>3173</v>
      </c>
      <c r="B303" s="53" t="s">
        <v>3174</v>
      </c>
      <c r="C303" s="27" t="s">
        <v>3175</v>
      </c>
      <c r="D303" s="62" t="s">
        <v>3176</v>
      </c>
      <c r="E303" s="69">
        <v>2.0</v>
      </c>
      <c r="F303" s="29" t="s">
        <v>15</v>
      </c>
      <c r="G303" s="25">
        <v>34000.0</v>
      </c>
      <c r="H303" s="2"/>
      <c r="I303" s="2"/>
      <c r="J303" s="2"/>
      <c r="K303" s="2"/>
      <c r="L303" s="2"/>
      <c r="M303" s="2"/>
      <c r="N303" s="2"/>
    </row>
    <row r="304" ht="24.0" customHeight="1">
      <c r="A304" s="53" t="s">
        <v>3177</v>
      </c>
      <c r="B304" s="53" t="s">
        <v>3178</v>
      </c>
      <c r="C304" s="27" t="s">
        <v>3179</v>
      </c>
      <c r="D304" s="51" t="s">
        <v>3180</v>
      </c>
      <c r="E304" s="69">
        <v>1.0</v>
      </c>
      <c r="F304" s="29" t="s">
        <v>15</v>
      </c>
      <c r="G304" s="25">
        <v>30000.0</v>
      </c>
      <c r="H304" s="2"/>
      <c r="I304" s="2"/>
      <c r="J304" s="2"/>
      <c r="K304" s="2"/>
      <c r="L304" s="2"/>
      <c r="M304" s="2"/>
      <c r="N304" s="2"/>
    </row>
    <row r="305" ht="24.0" hidden="1" customHeight="1">
      <c r="A305" s="53" t="s">
        <v>3181</v>
      </c>
      <c r="B305" s="53" t="s">
        <v>3182</v>
      </c>
      <c r="C305" s="27" t="s">
        <v>3183</v>
      </c>
      <c r="D305" s="51" t="s">
        <v>3184</v>
      </c>
      <c r="E305" s="69"/>
      <c r="F305" s="29"/>
      <c r="G305" s="25">
        <v>28600.0</v>
      </c>
      <c r="H305" s="2"/>
      <c r="I305" s="2"/>
      <c r="J305" s="2"/>
      <c r="K305" s="2"/>
      <c r="L305" s="2"/>
      <c r="M305" s="2"/>
      <c r="N305" s="2"/>
    </row>
    <row r="306" ht="24.0" customHeight="1">
      <c r="A306" s="178" t="s">
        <v>3185</v>
      </c>
      <c r="B306" s="178" t="s">
        <v>3186</v>
      </c>
      <c r="C306" s="169" t="s">
        <v>3164</v>
      </c>
      <c r="D306" s="179"/>
      <c r="E306" s="171">
        <v>2.0</v>
      </c>
      <c r="F306" s="172" t="s">
        <v>15</v>
      </c>
      <c r="G306" s="173">
        <v>18000.0</v>
      </c>
      <c r="H306" s="174"/>
      <c r="I306" s="174"/>
      <c r="J306" s="174"/>
      <c r="K306" s="174"/>
      <c r="L306" s="174"/>
      <c r="M306" s="174"/>
      <c r="N306" s="174"/>
    </row>
    <row r="307" ht="24.0" hidden="1" customHeight="1">
      <c r="A307" s="22" t="s">
        <v>3187</v>
      </c>
      <c r="B307" s="22" t="s">
        <v>3188</v>
      </c>
      <c r="C307" s="27" t="s">
        <v>3164</v>
      </c>
      <c r="D307" s="50"/>
      <c r="E307" s="69"/>
      <c r="F307" s="29"/>
      <c r="G307" s="25"/>
      <c r="H307" s="183"/>
      <c r="I307" s="183"/>
      <c r="J307" s="183"/>
      <c r="K307" s="183"/>
      <c r="L307" s="183"/>
      <c r="M307" s="183"/>
      <c r="N307" s="183"/>
    </row>
    <row r="308" ht="24.0" customHeight="1">
      <c r="A308" s="178" t="s">
        <v>3189</v>
      </c>
      <c r="B308" s="178" t="s">
        <v>3190</v>
      </c>
      <c r="C308" s="169" t="s">
        <v>3164</v>
      </c>
      <c r="D308" s="184"/>
      <c r="E308" s="171">
        <v>1.0</v>
      </c>
      <c r="F308" s="172" t="s">
        <v>15</v>
      </c>
      <c r="G308" s="173"/>
      <c r="H308" s="185"/>
      <c r="I308" s="185"/>
      <c r="J308" s="185"/>
      <c r="K308" s="185"/>
      <c r="L308" s="185"/>
      <c r="M308" s="185"/>
      <c r="N308" s="185"/>
    </row>
    <row r="309" ht="31.5" hidden="1" customHeight="1">
      <c r="A309" s="22" t="s">
        <v>3191</v>
      </c>
      <c r="B309" s="22" t="s">
        <v>3192</v>
      </c>
      <c r="C309" s="27" t="s">
        <v>3193</v>
      </c>
      <c r="D309" s="51"/>
      <c r="E309" s="69"/>
      <c r="F309" s="29"/>
      <c r="G309" s="25"/>
      <c r="H309" s="2"/>
      <c r="I309" s="2"/>
      <c r="J309" s="2"/>
      <c r="K309" s="2"/>
      <c r="L309" s="2"/>
      <c r="M309" s="2"/>
      <c r="N309" s="2"/>
    </row>
    <row r="310" ht="31.5" hidden="1" customHeight="1">
      <c r="A310" s="27" t="s">
        <v>3194</v>
      </c>
      <c r="B310" s="22" t="s">
        <v>3195</v>
      </c>
      <c r="C310" s="27" t="s">
        <v>3193</v>
      </c>
      <c r="D310" s="186" t="s">
        <v>3196</v>
      </c>
      <c r="E310" s="69"/>
      <c r="F310" s="29"/>
      <c r="G310" s="25">
        <v>15000.0</v>
      </c>
      <c r="H310" s="183"/>
      <c r="I310" s="183"/>
      <c r="J310" s="183"/>
      <c r="K310" s="183"/>
      <c r="L310" s="183"/>
      <c r="M310" s="183"/>
      <c r="N310" s="183"/>
    </row>
    <row r="311" ht="24.0" hidden="1" customHeight="1">
      <c r="A311" s="27" t="s">
        <v>3197</v>
      </c>
      <c r="B311" s="22" t="s">
        <v>3198</v>
      </c>
      <c r="C311" s="27" t="s">
        <v>3193</v>
      </c>
      <c r="D311" s="51" t="s">
        <v>3059</v>
      </c>
      <c r="E311" s="69"/>
      <c r="F311" s="29"/>
      <c r="G311" s="25">
        <v>13000.0</v>
      </c>
      <c r="H311" s="183"/>
      <c r="I311" s="183"/>
      <c r="J311" s="183"/>
      <c r="K311" s="183"/>
      <c r="L311" s="183"/>
      <c r="M311" s="183"/>
      <c r="N311" s="183"/>
    </row>
    <row r="312" ht="24.0" hidden="1" customHeight="1">
      <c r="A312" s="27" t="s">
        <v>3199</v>
      </c>
      <c r="B312" s="22" t="s">
        <v>3200</v>
      </c>
      <c r="C312" s="27" t="s">
        <v>3193</v>
      </c>
      <c r="D312" s="51" t="s">
        <v>3201</v>
      </c>
      <c r="E312" s="69"/>
      <c r="F312" s="29"/>
      <c r="G312" s="25">
        <v>12800.0</v>
      </c>
      <c r="H312" s="183"/>
      <c r="I312" s="183"/>
      <c r="J312" s="183"/>
      <c r="K312" s="183"/>
      <c r="L312" s="183"/>
      <c r="M312" s="183"/>
      <c r="N312" s="183"/>
    </row>
    <row r="313" ht="24.0" hidden="1" customHeight="1">
      <c r="A313" s="27" t="s">
        <v>3202</v>
      </c>
      <c r="B313" s="22" t="s">
        <v>3203</v>
      </c>
      <c r="C313" s="27" t="s">
        <v>3193</v>
      </c>
      <c r="D313" s="51" t="s">
        <v>3180</v>
      </c>
      <c r="E313" s="69"/>
      <c r="F313" s="29"/>
      <c r="G313" s="25">
        <v>13000.0</v>
      </c>
      <c r="H313" s="183"/>
      <c r="I313" s="183"/>
      <c r="J313" s="183"/>
      <c r="K313" s="183"/>
      <c r="L313" s="183"/>
      <c r="M313" s="183"/>
      <c r="N313" s="183"/>
    </row>
    <row r="314" ht="24.0" hidden="1" customHeight="1">
      <c r="A314" s="53" t="s">
        <v>3204</v>
      </c>
      <c r="B314" s="22" t="s">
        <v>3205</v>
      </c>
      <c r="C314" s="27" t="s">
        <v>3193</v>
      </c>
      <c r="D314" s="62" t="s">
        <v>3206</v>
      </c>
      <c r="E314" s="69"/>
      <c r="F314" s="29"/>
      <c r="G314" s="25"/>
      <c r="H314" s="183"/>
      <c r="I314" s="183"/>
      <c r="J314" s="183"/>
      <c r="K314" s="183"/>
      <c r="L314" s="183"/>
      <c r="M314" s="183"/>
      <c r="N314" s="183"/>
    </row>
    <row r="315" ht="31.5" hidden="1" customHeight="1">
      <c r="A315" s="53" t="s">
        <v>3207</v>
      </c>
      <c r="B315" s="22" t="s">
        <v>3205</v>
      </c>
      <c r="C315" s="27" t="s">
        <v>3193</v>
      </c>
      <c r="D315" s="62" t="s">
        <v>3206</v>
      </c>
      <c r="E315" s="69"/>
      <c r="F315" s="29"/>
      <c r="G315" s="25">
        <v>12200.0</v>
      </c>
      <c r="H315" s="183"/>
      <c r="I315" s="183"/>
      <c r="J315" s="183"/>
      <c r="K315" s="183"/>
      <c r="L315" s="183"/>
      <c r="M315" s="183"/>
      <c r="N315" s="183"/>
    </row>
    <row r="316" ht="24.0" customHeight="1">
      <c r="A316" s="53" t="s">
        <v>3208</v>
      </c>
      <c r="B316" s="60" t="s">
        <v>3209</v>
      </c>
      <c r="C316" s="22" t="s">
        <v>3193</v>
      </c>
      <c r="D316" s="32" t="s">
        <v>3210</v>
      </c>
      <c r="E316" s="69">
        <v>10.0</v>
      </c>
      <c r="F316" s="29" t="s">
        <v>15</v>
      </c>
      <c r="G316" s="33">
        <v>13800.0</v>
      </c>
      <c r="H316" s="2"/>
      <c r="I316" s="2"/>
      <c r="J316" s="2"/>
      <c r="K316" s="2"/>
      <c r="L316" s="2"/>
      <c r="M316" s="2"/>
      <c r="N316" s="2"/>
    </row>
    <row r="317" ht="24.0" customHeight="1">
      <c r="A317" s="53" t="s">
        <v>3211</v>
      </c>
      <c r="B317" s="60" t="s">
        <v>3212</v>
      </c>
      <c r="C317" s="22" t="s">
        <v>3193</v>
      </c>
      <c r="D317" s="32" t="s">
        <v>3210</v>
      </c>
      <c r="E317" s="165">
        <v>28.0</v>
      </c>
      <c r="F317" s="34" t="s">
        <v>15</v>
      </c>
      <c r="G317" s="33">
        <v>13800.0</v>
      </c>
      <c r="H317" s="2"/>
      <c r="I317" s="2"/>
      <c r="J317" s="2"/>
      <c r="K317" s="2"/>
      <c r="L317" s="2"/>
      <c r="M317" s="2"/>
      <c r="N317" s="2"/>
    </row>
    <row r="318" ht="24.0" hidden="1" customHeight="1">
      <c r="A318" s="53" t="s">
        <v>3213</v>
      </c>
      <c r="B318" s="34" t="s">
        <v>3214</v>
      </c>
      <c r="C318" s="22" t="s">
        <v>3193</v>
      </c>
      <c r="D318" s="32" t="s">
        <v>3210</v>
      </c>
      <c r="E318" s="165"/>
      <c r="F318" s="34"/>
      <c r="G318" s="33">
        <v>13800.0</v>
      </c>
      <c r="H318" s="2"/>
      <c r="I318" s="2"/>
      <c r="J318" s="2"/>
      <c r="K318" s="2"/>
      <c r="L318" s="2"/>
      <c r="M318" s="2"/>
      <c r="N318" s="2"/>
    </row>
    <row r="319" ht="24.0" hidden="1" customHeight="1">
      <c r="A319" s="53" t="s">
        <v>3215</v>
      </c>
      <c r="B319" s="22" t="s">
        <v>3216</v>
      </c>
      <c r="C319" s="27" t="s">
        <v>3193</v>
      </c>
      <c r="D319" s="62" t="s">
        <v>1015</v>
      </c>
      <c r="E319" s="69"/>
      <c r="F319" s="29"/>
      <c r="G319" s="25">
        <v>13500.0</v>
      </c>
      <c r="H319" s="183"/>
      <c r="I319" s="183"/>
      <c r="J319" s="183"/>
      <c r="K319" s="183"/>
      <c r="L319" s="183"/>
      <c r="M319" s="183"/>
      <c r="N319" s="183"/>
    </row>
    <row r="320" ht="24.0" customHeight="1">
      <c r="A320" s="53" t="s">
        <v>3217</v>
      </c>
      <c r="B320" s="60" t="s">
        <v>3218</v>
      </c>
      <c r="C320" s="22" t="s">
        <v>3193</v>
      </c>
      <c r="D320" s="52" t="s">
        <v>3219</v>
      </c>
      <c r="E320" s="69">
        <v>2.0</v>
      </c>
      <c r="F320" s="29" t="s">
        <v>15</v>
      </c>
      <c r="G320" s="33">
        <v>13600.0</v>
      </c>
      <c r="H320" s="2"/>
      <c r="I320" s="2"/>
      <c r="J320" s="2"/>
      <c r="K320" s="2"/>
      <c r="L320" s="2"/>
      <c r="M320" s="2"/>
      <c r="N320" s="2"/>
    </row>
    <row r="321" ht="24.0" hidden="1" customHeight="1">
      <c r="A321" s="53" t="s">
        <v>3220</v>
      </c>
      <c r="B321" s="60" t="s">
        <v>3221</v>
      </c>
      <c r="C321" s="22" t="s">
        <v>3193</v>
      </c>
      <c r="D321" s="52" t="s">
        <v>3219</v>
      </c>
      <c r="E321" s="165"/>
      <c r="F321" s="34"/>
      <c r="G321" s="33">
        <v>13600.0</v>
      </c>
      <c r="H321" s="2"/>
      <c r="I321" s="2"/>
      <c r="J321" s="2"/>
      <c r="K321" s="2"/>
      <c r="L321" s="2"/>
      <c r="M321" s="2"/>
      <c r="N321" s="2"/>
    </row>
    <row r="322" ht="24.0" hidden="1" customHeight="1">
      <c r="A322" s="53" t="s">
        <v>3220</v>
      </c>
      <c r="B322" s="60" t="s">
        <v>3222</v>
      </c>
      <c r="C322" s="22" t="s">
        <v>3193</v>
      </c>
      <c r="D322" s="52" t="s">
        <v>3219</v>
      </c>
      <c r="E322" s="165"/>
      <c r="F322" s="34"/>
      <c r="G322" s="33">
        <v>13600.0</v>
      </c>
      <c r="H322" s="2"/>
      <c r="I322" s="2"/>
      <c r="J322" s="2"/>
      <c r="K322" s="2"/>
      <c r="L322" s="2"/>
      <c r="M322" s="2"/>
      <c r="N322" s="2"/>
    </row>
    <row r="323" ht="24.0" customHeight="1">
      <c r="A323" s="53" t="s">
        <v>3223</v>
      </c>
      <c r="B323" s="60" t="s">
        <v>3224</v>
      </c>
      <c r="C323" s="22" t="s">
        <v>3193</v>
      </c>
      <c r="D323" s="52" t="s">
        <v>3219</v>
      </c>
      <c r="E323" s="165">
        <v>18.0</v>
      </c>
      <c r="F323" s="34" t="s">
        <v>15</v>
      </c>
      <c r="G323" s="33">
        <v>13600.0</v>
      </c>
      <c r="H323" s="2"/>
      <c r="I323" s="2"/>
      <c r="J323" s="2"/>
      <c r="K323" s="2"/>
      <c r="L323" s="2"/>
      <c r="M323" s="2"/>
      <c r="N323" s="2"/>
    </row>
    <row r="324" ht="24.0" customHeight="1">
      <c r="A324" s="53" t="s">
        <v>3223</v>
      </c>
      <c r="B324" s="60" t="s">
        <v>3225</v>
      </c>
      <c r="C324" s="22" t="s">
        <v>3193</v>
      </c>
      <c r="D324" s="52" t="s">
        <v>3219</v>
      </c>
      <c r="E324" s="165">
        <v>18.0</v>
      </c>
      <c r="F324" s="34" t="s">
        <v>15</v>
      </c>
      <c r="G324" s="33">
        <v>13600.0</v>
      </c>
      <c r="H324" s="2"/>
      <c r="I324" s="2"/>
      <c r="J324" s="2"/>
      <c r="K324" s="2"/>
      <c r="L324" s="2"/>
      <c r="M324" s="2"/>
      <c r="N324" s="2"/>
    </row>
    <row r="325" ht="24.0" customHeight="1">
      <c r="A325" s="53" t="s">
        <v>3226</v>
      </c>
      <c r="B325" s="60" t="s">
        <v>3227</v>
      </c>
      <c r="C325" s="22" t="s">
        <v>3193</v>
      </c>
      <c r="D325" s="52" t="s">
        <v>3219</v>
      </c>
      <c r="E325" s="165">
        <v>42.0</v>
      </c>
      <c r="F325" s="34" t="s">
        <v>15</v>
      </c>
      <c r="G325" s="33">
        <v>13600.0</v>
      </c>
      <c r="H325" s="2"/>
      <c r="I325" s="2"/>
      <c r="J325" s="2"/>
      <c r="K325" s="2"/>
      <c r="L325" s="2"/>
      <c r="M325" s="2"/>
      <c r="N325" s="2"/>
    </row>
    <row r="326" ht="24.0" hidden="1" customHeight="1">
      <c r="A326" s="27" t="s">
        <v>3228</v>
      </c>
      <c r="B326" s="27" t="s">
        <v>3229</v>
      </c>
      <c r="C326" s="22" t="s">
        <v>3230</v>
      </c>
      <c r="D326" s="62" t="s">
        <v>1015</v>
      </c>
      <c r="E326" s="69"/>
      <c r="F326" s="29"/>
      <c r="G326" s="25">
        <v>12200.0</v>
      </c>
      <c r="H326" s="183"/>
      <c r="I326" s="183"/>
      <c r="J326" s="183"/>
      <c r="K326" s="183"/>
      <c r="L326" s="183"/>
      <c r="M326" s="183"/>
      <c r="N326" s="183"/>
    </row>
    <row r="327" ht="24.0" hidden="1" customHeight="1">
      <c r="A327" s="53" t="s">
        <v>3231</v>
      </c>
      <c r="B327" s="27" t="s">
        <v>3232</v>
      </c>
      <c r="C327" s="22" t="s">
        <v>3230</v>
      </c>
      <c r="D327" s="62" t="s">
        <v>3206</v>
      </c>
      <c r="E327" s="69"/>
      <c r="F327" s="29"/>
      <c r="G327" s="25">
        <v>6900.0</v>
      </c>
      <c r="H327" s="183"/>
      <c r="I327" s="183"/>
      <c r="J327" s="183"/>
      <c r="K327" s="183"/>
      <c r="L327" s="183"/>
      <c r="M327" s="183"/>
      <c r="N327" s="183"/>
    </row>
    <row r="328" ht="24.0" customHeight="1">
      <c r="A328" s="53" t="s">
        <v>3233</v>
      </c>
      <c r="B328" s="27" t="s">
        <v>3234</v>
      </c>
      <c r="C328" s="22" t="s">
        <v>3230</v>
      </c>
      <c r="D328" s="62" t="s">
        <v>1015</v>
      </c>
      <c r="E328" s="69">
        <v>22.0</v>
      </c>
      <c r="F328" s="29" t="s">
        <v>15</v>
      </c>
      <c r="G328" s="25">
        <v>6500.0</v>
      </c>
      <c r="H328" s="183"/>
      <c r="I328" s="183"/>
      <c r="J328" s="183"/>
      <c r="K328" s="183"/>
      <c r="L328" s="183"/>
      <c r="M328" s="183"/>
      <c r="N328" s="183"/>
    </row>
    <row r="329" ht="24.0" customHeight="1">
      <c r="A329" s="53" t="s">
        <v>3235</v>
      </c>
      <c r="B329" s="27" t="s">
        <v>3236</v>
      </c>
      <c r="C329" s="22" t="s">
        <v>3230</v>
      </c>
      <c r="D329" s="62" t="s">
        <v>1015</v>
      </c>
      <c r="E329" s="69">
        <v>6.0</v>
      </c>
      <c r="F329" s="29" t="s">
        <v>15</v>
      </c>
      <c r="G329" s="25">
        <v>6500.0</v>
      </c>
      <c r="H329" s="183"/>
      <c r="I329" s="183"/>
      <c r="J329" s="183"/>
      <c r="K329" s="183"/>
      <c r="L329" s="183"/>
      <c r="M329" s="183"/>
      <c r="N329" s="183"/>
    </row>
    <row r="330" ht="24.0" customHeight="1">
      <c r="A330" s="53" t="s">
        <v>3237</v>
      </c>
      <c r="B330" s="27" t="s">
        <v>3238</v>
      </c>
      <c r="C330" s="22" t="s">
        <v>3230</v>
      </c>
      <c r="D330" s="62" t="s">
        <v>1060</v>
      </c>
      <c r="E330" s="69">
        <v>5.0</v>
      </c>
      <c r="F330" s="29" t="s">
        <v>15</v>
      </c>
      <c r="G330" s="25">
        <v>6500.0</v>
      </c>
      <c r="H330" s="183"/>
      <c r="I330" s="183"/>
      <c r="J330" s="183"/>
      <c r="K330" s="183"/>
      <c r="L330" s="183"/>
      <c r="M330" s="183"/>
      <c r="N330" s="183"/>
    </row>
    <row r="331" ht="24.0" hidden="1" customHeight="1">
      <c r="A331" s="27" t="s">
        <v>3239</v>
      </c>
      <c r="B331" s="27" t="s">
        <v>3240</v>
      </c>
      <c r="C331" s="22" t="s">
        <v>3241</v>
      </c>
      <c r="D331" s="28"/>
      <c r="E331" s="69"/>
      <c r="F331" s="29"/>
      <c r="G331" s="25">
        <v>5600.0</v>
      </c>
      <c r="H331" s="183"/>
      <c r="I331" s="183"/>
      <c r="J331" s="183"/>
      <c r="K331" s="183"/>
      <c r="L331" s="183"/>
      <c r="M331" s="183"/>
      <c r="N331" s="183"/>
    </row>
    <row r="332" ht="24.0" customHeight="1">
      <c r="A332" s="53" t="s">
        <v>3242</v>
      </c>
      <c r="B332" s="60" t="s">
        <v>3243</v>
      </c>
      <c r="C332" s="22" t="s">
        <v>3244</v>
      </c>
      <c r="D332" s="32"/>
      <c r="E332" s="69">
        <v>42.0</v>
      </c>
      <c r="F332" s="29" t="s">
        <v>15</v>
      </c>
      <c r="G332" s="33">
        <v>5200.0</v>
      </c>
      <c r="H332" s="2"/>
      <c r="I332" s="2"/>
      <c r="J332" s="2"/>
      <c r="K332" s="2"/>
      <c r="L332" s="2"/>
      <c r="M332" s="2"/>
      <c r="N332" s="2"/>
    </row>
    <row r="333" ht="24.0" customHeight="1">
      <c r="A333" s="187" t="s">
        <v>3242</v>
      </c>
      <c r="B333" s="27" t="s">
        <v>3240</v>
      </c>
      <c r="C333" s="22" t="s">
        <v>3241</v>
      </c>
      <c r="D333" s="28"/>
      <c r="E333" s="69">
        <v>42.0</v>
      </c>
      <c r="F333" s="29" t="s">
        <v>15</v>
      </c>
      <c r="G333" s="25">
        <v>5200.0</v>
      </c>
      <c r="H333" s="183"/>
      <c r="I333" s="183"/>
      <c r="J333" s="183"/>
      <c r="K333" s="183"/>
      <c r="L333" s="183"/>
      <c r="M333" s="183"/>
      <c r="N333" s="183"/>
    </row>
    <row r="334" ht="24.0" customHeight="1">
      <c r="A334" s="187" t="s">
        <v>3245</v>
      </c>
      <c r="B334" s="27" t="s">
        <v>3240</v>
      </c>
      <c r="C334" s="22" t="s">
        <v>3241</v>
      </c>
      <c r="D334" s="28"/>
      <c r="E334" s="69">
        <v>1.0</v>
      </c>
      <c r="F334" s="29" t="s">
        <v>15</v>
      </c>
      <c r="G334" s="25">
        <v>5200.0</v>
      </c>
      <c r="H334" s="183"/>
      <c r="I334" s="183"/>
      <c r="J334" s="183"/>
      <c r="K334" s="183"/>
      <c r="L334" s="183"/>
      <c r="M334" s="183"/>
      <c r="N334" s="183"/>
    </row>
    <row r="335" ht="24.0" customHeight="1">
      <c r="A335" s="53" t="s">
        <v>3246</v>
      </c>
      <c r="B335" s="60" t="s">
        <v>3247</v>
      </c>
      <c r="C335" s="22" t="s">
        <v>3244</v>
      </c>
      <c r="D335" s="32"/>
      <c r="E335" s="165">
        <v>12.0</v>
      </c>
      <c r="F335" s="34" t="s">
        <v>15</v>
      </c>
      <c r="G335" s="33">
        <v>5300.0</v>
      </c>
      <c r="H335" s="2"/>
      <c r="I335" s="2"/>
      <c r="J335" s="2"/>
      <c r="K335" s="2"/>
      <c r="L335" s="2"/>
      <c r="M335" s="2"/>
      <c r="N335" s="2"/>
    </row>
    <row r="336" ht="24.0" customHeight="1">
      <c r="A336" s="53" t="s">
        <v>3248</v>
      </c>
      <c r="B336" s="60" t="s">
        <v>3249</v>
      </c>
      <c r="C336" s="22" t="s">
        <v>3244</v>
      </c>
      <c r="D336" s="32"/>
      <c r="E336" s="165">
        <v>18.0</v>
      </c>
      <c r="F336" s="34" t="s">
        <v>15</v>
      </c>
      <c r="G336" s="33">
        <v>5300.0</v>
      </c>
      <c r="H336" s="2"/>
      <c r="I336" s="2"/>
      <c r="J336" s="2"/>
      <c r="K336" s="2"/>
      <c r="L336" s="2"/>
      <c r="M336" s="2"/>
      <c r="N336" s="2"/>
    </row>
    <row r="337" ht="24.0" customHeight="1">
      <c r="A337" s="53" t="s">
        <v>3250</v>
      </c>
      <c r="B337" s="60" t="s">
        <v>3251</v>
      </c>
      <c r="C337" s="22" t="s">
        <v>3244</v>
      </c>
      <c r="D337" s="32"/>
      <c r="E337" s="69">
        <v>24.0</v>
      </c>
      <c r="F337" s="29" t="s">
        <v>15</v>
      </c>
      <c r="G337" s="33">
        <v>5300.0</v>
      </c>
      <c r="H337" s="2"/>
      <c r="I337" s="2"/>
      <c r="J337" s="2"/>
      <c r="K337" s="2"/>
      <c r="L337" s="2"/>
      <c r="M337" s="2"/>
      <c r="N337" s="2"/>
    </row>
    <row r="338" ht="24.0" customHeight="1">
      <c r="A338" s="27" t="s">
        <v>3252</v>
      </c>
      <c r="B338" s="27" t="s">
        <v>3253</v>
      </c>
      <c r="C338" s="22" t="s">
        <v>3164</v>
      </c>
      <c r="D338" s="28"/>
      <c r="E338" s="69">
        <v>1.0</v>
      </c>
      <c r="F338" s="29" t="s">
        <v>15</v>
      </c>
      <c r="G338" s="25"/>
      <c r="H338" s="183"/>
      <c r="I338" s="183"/>
      <c r="J338" s="183"/>
      <c r="K338" s="183"/>
      <c r="L338" s="183"/>
      <c r="M338" s="183"/>
      <c r="N338" s="183"/>
    </row>
    <row r="339" ht="24.0" customHeight="1">
      <c r="A339" s="27" t="s">
        <v>3254</v>
      </c>
      <c r="B339" s="27" t="s">
        <v>3255</v>
      </c>
      <c r="C339" s="22" t="s">
        <v>3164</v>
      </c>
      <c r="D339" s="28"/>
      <c r="E339" s="69">
        <v>2.0</v>
      </c>
      <c r="F339" s="29" t="s">
        <v>15</v>
      </c>
      <c r="G339" s="25"/>
      <c r="H339" s="183"/>
      <c r="I339" s="183"/>
      <c r="J339" s="183"/>
      <c r="K339" s="183"/>
      <c r="L339" s="183"/>
      <c r="M339" s="183"/>
      <c r="N339" s="183"/>
    </row>
    <row r="340" ht="24.0" customHeight="1">
      <c r="A340" s="27" t="s">
        <v>3256</v>
      </c>
      <c r="B340" s="27" t="s">
        <v>3257</v>
      </c>
      <c r="C340" s="22" t="s">
        <v>3164</v>
      </c>
      <c r="D340" s="28"/>
      <c r="E340" s="69">
        <v>3.0</v>
      </c>
      <c r="F340" s="29" t="s">
        <v>15</v>
      </c>
      <c r="G340" s="25"/>
      <c r="H340" s="183"/>
      <c r="I340" s="183"/>
      <c r="J340" s="183"/>
      <c r="K340" s="183"/>
      <c r="L340" s="183"/>
      <c r="M340" s="183"/>
      <c r="N340" s="183"/>
    </row>
    <row r="341" ht="24.0" customHeight="1">
      <c r="A341" s="27" t="s">
        <v>3258</v>
      </c>
      <c r="B341" s="27" t="s">
        <v>3259</v>
      </c>
      <c r="C341" s="22" t="s">
        <v>3164</v>
      </c>
      <c r="D341" s="28"/>
      <c r="E341" s="69">
        <v>1.0</v>
      </c>
      <c r="F341" s="29" t="s">
        <v>15</v>
      </c>
      <c r="G341" s="25"/>
      <c r="H341" s="183"/>
      <c r="I341" s="183"/>
      <c r="J341" s="183"/>
      <c r="K341" s="183"/>
      <c r="L341" s="183"/>
      <c r="M341" s="183"/>
      <c r="N341" s="183"/>
    </row>
    <row r="342" ht="24.0" customHeight="1">
      <c r="A342" s="27" t="s">
        <v>3260</v>
      </c>
      <c r="B342" s="27" t="s">
        <v>3261</v>
      </c>
      <c r="C342" s="22" t="s">
        <v>3262</v>
      </c>
      <c r="D342" s="28"/>
      <c r="E342" s="69">
        <v>1.0</v>
      </c>
      <c r="F342" s="29" t="s">
        <v>15</v>
      </c>
      <c r="G342" s="25"/>
      <c r="H342" s="183"/>
      <c r="I342" s="183"/>
      <c r="J342" s="183"/>
      <c r="K342" s="183"/>
      <c r="L342" s="183"/>
      <c r="M342" s="183"/>
      <c r="N342" s="183"/>
    </row>
    <row r="343" ht="24.0" customHeight="1">
      <c r="A343" s="27" t="s">
        <v>3263</v>
      </c>
      <c r="B343" s="27" t="s">
        <v>3264</v>
      </c>
      <c r="C343" s="22" t="s">
        <v>3164</v>
      </c>
      <c r="D343" s="28"/>
      <c r="E343" s="69">
        <v>6.0</v>
      </c>
      <c r="F343" s="29" t="s">
        <v>15</v>
      </c>
      <c r="G343" s="25"/>
      <c r="H343" s="183"/>
      <c r="I343" s="183"/>
      <c r="J343" s="183"/>
      <c r="K343" s="183"/>
      <c r="L343" s="183"/>
      <c r="M343" s="183"/>
      <c r="N343" s="183"/>
    </row>
    <row r="344" ht="24.0" customHeight="1">
      <c r="A344" s="27" t="s">
        <v>3265</v>
      </c>
      <c r="B344" s="27" t="s">
        <v>3266</v>
      </c>
      <c r="C344" s="22" t="s">
        <v>3164</v>
      </c>
      <c r="D344" s="28"/>
      <c r="E344" s="69">
        <v>1.0</v>
      </c>
      <c r="F344" s="29" t="s">
        <v>15</v>
      </c>
      <c r="G344" s="25"/>
      <c r="H344" s="183"/>
      <c r="I344" s="183"/>
      <c r="J344" s="183"/>
      <c r="K344" s="183"/>
      <c r="L344" s="183"/>
      <c r="M344" s="183"/>
      <c r="N344" s="183"/>
    </row>
    <row r="345" ht="24.0" customHeight="1">
      <c r="A345" s="27" t="s">
        <v>3267</v>
      </c>
      <c r="B345" s="27" t="s">
        <v>3268</v>
      </c>
      <c r="C345" s="22" t="s">
        <v>3269</v>
      </c>
      <c r="D345" s="28"/>
      <c r="E345" s="69">
        <v>1.0</v>
      </c>
      <c r="F345" s="29" t="s">
        <v>15</v>
      </c>
      <c r="G345" s="25"/>
      <c r="H345" s="183"/>
      <c r="I345" s="183"/>
      <c r="J345" s="183"/>
      <c r="K345" s="183"/>
      <c r="L345" s="183"/>
      <c r="M345" s="183"/>
      <c r="N345" s="183"/>
    </row>
    <row r="346" ht="24.0" hidden="1" customHeight="1">
      <c r="A346" s="2"/>
      <c r="B346" s="2"/>
      <c r="C346" s="2"/>
      <c r="D346" s="28"/>
      <c r="E346" s="69"/>
      <c r="F346" s="29"/>
      <c r="G346" s="25"/>
      <c r="H346" s="183"/>
      <c r="I346" s="183"/>
      <c r="J346" s="183"/>
      <c r="K346" s="183"/>
      <c r="L346" s="183"/>
      <c r="M346" s="183"/>
      <c r="N346" s="183"/>
    </row>
    <row r="347" ht="31.5" hidden="1" customHeight="1">
      <c r="A347" s="161" t="s">
        <v>3270</v>
      </c>
      <c r="B347" s="13"/>
      <c r="C347" s="13"/>
      <c r="D347" s="12"/>
      <c r="E347" s="65"/>
      <c r="F347" s="66"/>
      <c r="G347" s="159"/>
      <c r="H347" s="2"/>
      <c r="I347" s="2"/>
      <c r="J347" s="2"/>
      <c r="K347" s="2"/>
      <c r="L347" s="2"/>
      <c r="M347" s="2"/>
      <c r="N347" s="2"/>
    </row>
    <row r="348" ht="24.0" customHeight="1">
      <c r="A348" s="21" t="s">
        <v>0</v>
      </c>
      <c r="B348" s="21" t="s">
        <v>1</v>
      </c>
      <c r="C348" s="21" t="s">
        <v>2</v>
      </c>
      <c r="D348" s="11" t="s">
        <v>3</v>
      </c>
      <c r="E348" s="11" t="s">
        <v>2307</v>
      </c>
      <c r="F348" s="13"/>
      <c r="G348" s="159" t="s">
        <v>5</v>
      </c>
      <c r="H348" s="2"/>
      <c r="I348" s="2"/>
      <c r="J348" s="2"/>
      <c r="K348" s="2"/>
      <c r="L348" s="2"/>
      <c r="M348" s="2"/>
      <c r="N348" s="2"/>
    </row>
    <row r="349" ht="24.0" customHeight="1">
      <c r="A349" s="5" t="s">
        <v>3271</v>
      </c>
      <c r="B349" s="5" t="s">
        <v>3272</v>
      </c>
      <c r="C349" s="5" t="s">
        <v>3273</v>
      </c>
      <c r="D349" s="32" t="s">
        <v>2502</v>
      </c>
      <c r="E349" s="69">
        <v>6.0</v>
      </c>
      <c r="F349" s="29" t="s">
        <v>15</v>
      </c>
      <c r="G349" s="163">
        <v>28800.0</v>
      </c>
      <c r="H349" s="2"/>
      <c r="I349" s="2"/>
      <c r="J349" s="2"/>
      <c r="K349" s="2"/>
      <c r="L349" s="2"/>
      <c r="M349" s="2"/>
      <c r="N349" s="2"/>
    </row>
    <row r="350" ht="24.0" customHeight="1">
      <c r="A350" s="27" t="s">
        <v>3274</v>
      </c>
      <c r="B350" s="5" t="s">
        <v>3275</v>
      </c>
      <c r="C350" s="5" t="s">
        <v>3276</v>
      </c>
      <c r="D350" s="32" t="s">
        <v>3277</v>
      </c>
      <c r="E350" s="69">
        <v>16.0</v>
      </c>
      <c r="F350" s="29" t="s">
        <v>15</v>
      </c>
      <c r="G350" s="25">
        <v>11800.0</v>
      </c>
      <c r="H350" s="2"/>
      <c r="I350" s="2"/>
      <c r="J350" s="2"/>
      <c r="K350" s="2"/>
      <c r="L350" s="2"/>
      <c r="M350" s="2"/>
      <c r="N350" s="2"/>
    </row>
    <row r="351" ht="15.75" customHeight="1">
      <c r="A351" s="22" t="s">
        <v>3278</v>
      </c>
      <c r="B351" s="38" t="s">
        <v>3279</v>
      </c>
      <c r="C351" s="34" t="s">
        <v>3280</v>
      </c>
      <c r="D351" s="62" t="s">
        <v>3281</v>
      </c>
      <c r="E351" s="188">
        <v>1.0</v>
      </c>
      <c r="F351" s="189" t="s">
        <v>3282</v>
      </c>
      <c r="G351" s="25">
        <v>58000.0</v>
      </c>
      <c r="H351" s="55"/>
      <c r="I351" s="55"/>
      <c r="J351" s="55"/>
      <c r="K351" s="55"/>
      <c r="L351" s="55"/>
      <c r="M351" s="55"/>
      <c r="N351" s="55"/>
    </row>
    <row r="352" ht="15.75" customHeight="1">
      <c r="A352" s="27" t="s">
        <v>3283</v>
      </c>
      <c r="B352" s="53" t="s">
        <v>3284</v>
      </c>
      <c r="C352" s="30" t="s">
        <v>3285</v>
      </c>
      <c r="D352" s="52" t="s">
        <v>3286</v>
      </c>
      <c r="E352" s="188">
        <v>3.0</v>
      </c>
      <c r="F352" s="189" t="s">
        <v>3282</v>
      </c>
      <c r="G352" s="25">
        <v>24000.0</v>
      </c>
      <c r="H352" s="2"/>
      <c r="I352" s="2"/>
      <c r="J352" s="2"/>
      <c r="K352" s="2"/>
      <c r="L352" s="2"/>
      <c r="M352" s="2"/>
      <c r="N352" s="2"/>
    </row>
    <row r="353" ht="15.75" customHeight="1">
      <c r="A353" s="27" t="s">
        <v>3287</v>
      </c>
      <c r="B353" s="53" t="s">
        <v>3288</v>
      </c>
      <c r="C353" s="30" t="s">
        <v>3289</v>
      </c>
      <c r="D353" s="32" t="s">
        <v>3290</v>
      </c>
      <c r="E353" s="69">
        <v>6.0</v>
      </c>
      <c r="F353" s="29" t="s">
        <v>15</v>
      </c>
      <c r="G353" s="25">
        <v>7500.0</v>
      </c>
      <c r="H353" s="2"/>
      <c r="I353" s="2"/>
      <c r="J353" s="2"/>
      <c r="K353" s="2"/>
      <c r="L353" s="2"/>
      <c r="M353" s="2"/>
      <c r="N353" s="2"/>
    </row>
    <row r="354" ht="15.75" customHeight="1">
      <c r="A354" s="27" t="s">
        <v>3291</v>
      </c>
      <c r="B354" s="53" t="s">
        <v>3288</v>
      </c>
      <c r="C354" s="30" t="s">
        <v>3292</v>
      </c>
      <c r="D354" s="32" t="s">
        <v>3290</v>
      </c>
      <c r="E354" s="69">
        <v>12.0</v>
      </c>
      <c r="F354" s="29" t="s">
        <v>15</v>
      </c>
      <c r="G354" s="25">
        <v>7500.0</v>
      </c>
      <c r="H354" s="2"/>
      <c r="I354" s="2"/>
      <c r="J354" s="2"/>
      <c r="K354" s="2"/>
      <c r="L354" s="2"/>
      <c r="M354" s="2"/>
      <c r="N354" s="2"/>
    </row>
    <row r="355" ht="15.75" customHeight="1">
      <c r="A355" s="27" t="s">
        <v>3293</v>
      </c>
      <c r="B355" s="53" t="s">
        <v>3288</v>
      </c>
      <c r="C355" s="30" t="s">
        <v>3294</v>
      </c>
      <c r="D355" s="32" t="s">
        <v>3290</v>
      </c>
      <c r="E355" s="69">
        <v>11.0</v>
      </c>
      <c r="F355" s="29" t="s">
        <v>15</v>
      </c>
      <c r="G355" s="25">
        <v>7500.0</v>
      </c>
      <c r="H355" s="2"/>
      <c r="I355" s="2"/>
      <c r="J355" s="2"/>
      <c r="K355" s="2"/>
      <c r="L355" s="2"/>
      <c r="M355" s="2"/>
      <c r="N355" s="2"/>
    </row>
    <row r="356" ht="15.75" customHeight="1">
      <c r="A356" s="27" t="s">
        <v>3295</v>
      </c>
      <c r="B356" s="38" t="s">
        <v>3296</v>
      </c>
      <c r="C356" s="30" t="s">
        <v>3297</v>
      </c>
      <c r="D356" s="32" t="s">
        <v>3298</v>
      </c>
      <c r="E356" s="69">
        <v>34.0</v>
      </c>
      <c r="F356" s="29" t="s">
        <v>15</v>
      </c>
      <c r="G356" s="25">
        <v>2970.0</v>
      </c>
      <c r="H356" s="2"/>
      <c r="I356" s="2"/>
      <c r="J356" s="2"/>
      <c r="K356" s="2"/>
      <c r="L356" s="2"/>
      <c r="M356" s="2"/>
      <c r="N356" s="2"/>
    </row>
    <row r="357" ht="15.75" customHeight="1">
      <c r="A357" s="27" t="s">
        <v>3299</v>
      </c>
      <c r="B357" s="38" t="s">
        <v>3296</v>
      </c>
      <c r="C357" s="30" t="s">
        <v>3300</v>
      </c>
      <c r="D357" s="32" t="s">
        <v>3298</v>
      </c>
      <c r="E357" s="69">
        <v>48.0</v>
      </c>
      <c r="F357" s="29" t="s">
        <v>15</v>
      </c>
      <c r="G357" s="25">
        <v>2970.0</v>
      </c>
      <c r="H357" s="2"/>
      <c r="I357" s="2"/>
      <c r="J357" s="2"/>
      <c r="K357" s="2"/>
      <c r="L357" s="2"/>
      <c r="M357" s="2"/>
      <c r="N357" s="2"/>
    </row>
    <row r="358" ht="15.75" customHeight="1">
      <c r="A358" s="27" t="s">
        <v>3301</v>
      </c>
      <c r="B358" s="38" t="s">
        <v>3296</v>
      </c>
      <c r="C358" s="30" t="s">
        <v>3302</v>
      </c>
      <c r="D358" s="32" t="s">
        <v>3298</v>
      </c>
      <c r="E358" s="69">
        <v>34.0</v>
      </c>
      <c r="F358" s="29" t="s">
        <v>15</v>
      </c>
      <c r="G358" s="25">
        <v>2970.0</v>
      </c>
      <c r="H358" s="2"/>
      <c r="I358" s="2"/>
      <c r="J358" s="2"/>
      <c r="K358" s="2"/>
      <c r="L358" s="2"/>
      <c r="M358" s="2"/>
      <c r="N358" s="2"/>
    </row>
    <row r="359" ht="24.0" hidden="1" customHeight="1">
      <c r="A359" s="2"/>
      <c r="B359" s="2"/>
      <c r="C359" s="2"/>
      <c r="D359" s="3"/>
      <c r="E359" s="4"/>
      <c r="F359" s="5"/>
      <c r="G359" s="31"/>
      <c r="H359" s="2"/>
      <c r="I359" s="2"/>
      <c r="J359" s="2"/>
      <c r="K359" s="2"/>
      <c r="L359" s="2"/>
      <c r="M359" s="2"/>
      <c r="N359" s="2"/>
    </row>
    <row r="360" ht="31.5" hidden="1" customHeight="1">
      <c r="A360" s="161" t="s">
        <v>3303</v>
      </c>
      <c r="B360" s="13"/>
      <c r="C360" s="13"/>
      <c r="D360" s="12"/>
      <c r="E360" s="65"/>
      <c r="F360" s="66"/>
      <c r="G360" s="159"/>
      <c r="H360" s="2"/>
      <c r="I360" s="2"/>
      <c r="J360" s="2"/>
      <c r="K360" s="2"/>
      <c r="L360" s="2"/>
      <c r="M360" s="2"/>
      <c r="N360" s="2"/>
    </row>
    <row r="361" ht="24.0" customHeight="1">
      <c r="A361" s="21" t="s">
        <v>0</v>
      </c>
      <c r="B361" s="21" t="s">
        <v>1</v>
      </c>
      <c r="C361" s="21" t="s">
        <v>2</v>
      </c>
      <c r="D361" s="11" t="s">
        <v>3</v>
      </c>
      <c r="E361" s="11" t="s">
        <v>2307</v>
      </c>
      <c r="F361" s="13"/>
      <c r="G361" s="159" t="s">
        <v>5</v>
      </c>
      <c r="H361" s="2"/>
      <c r="I361" s="2"/>
      <c r="J361" s="2"/>
      <c r="K361" s="2"/>
      <c r="L361" s="2"/>
      <c r="M361" s="2"/>
      <c r="N361" s="2"/>
    </row>
    <row r="362" ht="24.0" customHeight="1">
      <c r="A362" s="29" t="s">
        <v>3304</v>
      </c>
      <c r="B362" s="29" t="s">
        <v>3305</v>
      </c>
      <c r="C362" s="29" t="s">
        <v>3306</v>
      </c>
      <c r="D362" s="51" t="s">
        <v>3307</v>
      </c>
      <c r="E362" s="69">
        <v>5.0</v>
      </c>
      <c r="F362" s="29" t="s">
        <v>15</v>
      </c>
      <c r="G362" s="163">
        <v>12000.0</v>
      </c>
      <c r="H362" s="144"/>
      <c r="I362" s="144"/>
      <c r="J362" s="144"/>
      <c r="K362" s="144"/>
      <c r="L362" s="144"/>
      <c r="M362" s="144"/>
      <c r="N362" s="144"/>
    </row>
    <row r="363" ht="24.0" customHeight="1">
      <c r="A363" s="29" t="s">
        <v>3308</v>
      </c>
      <c r="B363" s="29" t="s">
        <v>3309</v>
      </c>
      <c r="C363" s="29" t="s">
        <v>3310</v>
      </c>
      <c r="D363" s="51" t="s">
        <v>3311</v>
      </c>
      <c r="E363" s="69">
        <v>6.0</v>
      </c>
      <c r="F363" s="29" t="s">
        <v>15</v>
      </c>
      <c r="G363" s="163">
        <v>12500.0</v>
      </c>
      <c r="H363" s="144"/>
      <c r="I363" s="144"/>
      <c r="J363" s="144"/>
      <c r="K363" s="144"/>
      <c r="L363" s="144"/>
      <c r="M363" s="144"/>
      <c r="N363" s="144"/>
    </row>
    <row r="364" ht="24.0" customHeight="1">
      <c r="A364" s="29" t="s">
        <v>3312</v>
      </c>
      <c r="B364" s="29" t="s">
        <v>3313</v>
      </c>
      <c r="C364" s="29" t="s">
        <v>3314</v>
      </c>
      <c r="D364" s="62" t="s">
        <v>3315</v>
      </c>
      <c r="E364" s="69">
        <v>6.0</v>
      </c>
      <c r="F364" s="29" t="s">
        <v>15</v>
      </c>
      <c r="G364" s="163">
        <v>12500.0</v>
      </c>
      <c r="H364" s="144"/>
      <c r="I364" s="144"/>
      <c r="J364" s="144"/>
      <c r="K364" s="144"/>
      <c r="L364" s="144"/>
      <c r="M364" s="144"/>
      <c r="N364" s="144"/>
    </row>
    <row r="365" ht="24.0" customHeight="1">
      <c r="A365" s="29" t="s">
        <v>3316</v>
      </c>
      <c r="B365" s="29" t="s">
        <v>3317</v>
      </c>
      <c r="C365" s="29" t="s">
        <v>3318</v>
      </c>
      <c r="D365" s="62" t="s">
        <v>1060</v>
      </c>
      <c r="E365" s="69">
        <v>6.0</v>
      </c>
      <c r="F365" s="29" t="s">
        <v>15</v>
      </c>
      <c r="G365" s="163">
        <v>12500.0</v>
      </c>
      <c r="H365" s="144"/>
      <c r="I365" s="144"/>
      <c r="J365" s="144"/>
      <c r="K365" s="144"/>
      <c r="L365" s="144"/>
      <c r="M365" s="144"/>
      <c r="N365" s="144"/>
    </row>
    <row r="366" ht="24.0" customHeight="1">
      <c r="A366" s="29" t="s">
        <v>3319</v>
      </c>
      <c r="B366" s="29" t="s">
        <v>3320</v>
      </c>
      <c r="C366" s="29" t="s">
        <v>3321</v>
      </c>
      <c r="D366" s="62" t="s">
        <v>2915</v>
      </c>
      <c r="E366" s="69">
        <v>6.0</v>
      </c>
      <c r="F366" s="29" t="s">
        <v>15</v>
      </c>
      <c r="G366" s="163">
        <v>10800.0</v>
      </c>
      <c r="H366" s="144"/>
      <c r="I366" s="144"/>
      <c r="J366" s="144"/>
      <c r="K366" s="144"/>
      <c r="L366" s="144"/>
      <c r="M366" s="144"/>
      <c r="N366" s="144"/>
    </row>
    <row r="367" ht="24.0" customHeight="1">
      <c r="A367" s="53" t="s">
        <v>3322</v>
      </c>
      <c r="B367" s="27" t="s">
        <v>3323</v>
      </c>
      <c r="C367" s="29" t="s">
        <v>3324</v>
      </c>
      <c r="D367" s="62" t="s">
        <v>3325</v>
      </c>
      <c r="E367" s="69">
        <v>24.0</v>
      </c>
      <c r="F367" s="29" t="s">
        <v>15</v>
      </c>
      <c r="G367" s="163">
        <v>3000.0</v>
      </c>
      <c r="H367" s="144"/>
      <c r="I367" s="144"/>
      <c r="J367" s="144"/>
      <c r="K367" s="144"/>
      <c r="L367" s="144"/>
      <c r="M367" s="144"/>
      <c r="N367" s="144"/>
    </row>
    <row r="368" ht="24.0" customHeight="1">
      <c r="A368" s="178" t="s">
        <v>3326</v>
      </c>
      <c r="B368" s="178" t="s">
        <v>3327</v>
      </c>
      <c r="C368" s="178" t="s">
        <v>3328</v>
      </c>
      <c r="D368" s="179" t="s">
        <v>3329</v>
      </c>
      <c r="E368" s="171">
        <v>1.0</v>
      </c>
      <c r="F368" s="172" t="s">
        <v>15</v>
      </c>
      <c r="G368" s="173">
        <v>4990.0</v>
      </c>
      <c r="H368" s="174"/>
      <c r="I368" s="174"/>
      <c r="J368" s="174"/>
      <c r="K368" s="174"/>
      <c r="L368" s="174"/>
      <c r="M368" s="174"/>
      <c r="N368" s="174"/>
    </row>
    <row r="369" ht="24.0" hidden="1" customHeight="1">
      <c r="A369" s="22" t="s">
        <v>3330</v>
      </c>
      <c r="B369" s="22" t="s">
        <v>3331</v>
      </c>
      <c r="C369" s="22" t="s">
        <v>3328</v>
      </c>
      <c r="D369" s="51" t="s">
        <v>3332</v>
      </c>
      <c r="E369" s="69"/>
      <c r="F369" s="29"/>
      <c r="G369" s="25">
        <v>5500.0</v>
      </c>
      <c r="H369" s="2"/>
      <c r="I369" s="2"/>
      <c r="J369" s="2"/>
      <c r="K369" s="2"/>
      <c r="L369" s="2"/>
      <c r="M369" s="2"/>
      <c r="N369" s="2"/>
    </row>
    <row r="370" ht="24.0" hidden="1" customHeight="1">
      <c r="A370" s="22" t="s">
        <v>3333</v>
      </c>
      <c r="B370" s="22" t="s">
        <v>3334</v>
      </c>
      <c r="C370" s="22" t="s">
        <v>3328</v>
      </c>
      <c r="D370" s="51" t="s">
        <v>3335</v>
      </c>
      <c r="E370" s="69"/>
      <c r="F370" s="29"/>
      <c r="G370" s="25">
        <v>5300.0</v>
      </c>
      <c r="H370" s="2"/>
      <c r="I370" s="2"/>
      <c r="J370" s="2"/>
      <c r="K370" s="2"/>
      <c r="L370" s="2"/>
      <c r="M370" s="2"/>
      <c r="N370" s="2"/>
    </row>
    <row r="371" ht="24.0" customHeight="1">
      <c r="A371" s="53" t="s">
        <v>3336</v>
      </c>
      <c r="B371" s="22" t="s">
        <v>3337</v>
      </c>
      <c r="C371" s="22" t="s">
        <v>3328</v>
      </c>
      <c r="D371" s="62" t="s">
        <v>3338</v>
      </c>
      <c r="E371" s="69">
        <v>21.0</v>
      </c>
      <c r="F371" s="29" t="s">
        <v>15</v>
      </c>
      <c r="G371" s="25">
        <v>5400.0</v>
      </c>
      <c r="H371" s="2"/>
      <c r="I371" s="2"/>
      <c r="J371" s="2"/>
      <c r="K371" s="2"/>
      <c r="L371" s="2"/>
      <c r="M371" s="2"/>
      <c r="N371" s="2"/>
    </row>
    <row r="372" ht="24.0" customHeight="1">
      <c r="A372" s="53" t="s">
        <v>3339</v>
      </c>
      <c r="B372" s="22" t="s">
        <v>3337</v>
      </c>
      <c r="C372" s="22" t="s">
        <v>3328</v>
      </c>
      <c r="D372" s="62" t="s">
        <v>3338</v>
      </c>
      <c r="E372" s="69">
        <v>35.0</v>
      </c>
      <c r="F372" s="29" t="s">
        <v>15</v>
      </c>
      <c r="G372" s="25">
        <v>5400.0</v>
      </c>
      <c r="H372" s="2"/>
      <c r="I372" s="2"/>
      <c r="J372" s="2"/>
      <c r="K372" s="2"/>
      <c r="L372" s="2"/>
      <c r="M372" s="2"/>
      <c r="N372" s="2"/>
    </row>
    <row r="373" ht="24.0" customHeight="1">
      <c r="A373" s="53" t="s">
        <v>3340</v>
      </c>
      <c r="B373" s="22" t="s">
        <v>3337</v>
      </c>
      <c r="C373" s="22" t="s">
        <v>3328</v>
      </c>
      <c r="D373" s="62" t="s">
        <v>3338</v>
      </c>
      <c r="E373" s="69">
        <v>12.0</v>
      </c>
      <c r="F373" s="29" t="s">
        <v>15</v>
      </c>
      <c r="G373" s="25">
        <v>5400.0</v>
      </c>
      <c r="H373" s="2"/>
      <c r="I373" s="2"/>
      <c r="J373" s="2"/>
      <c r="K373" s="2"/>
      <c r="L373" s="2"/>
      <c r="M373" s="2"/>
      <c r="N373" s="2"/>
    </row>
    <row r="374" ht="24.0" customHeight="1">
      <c r="A374" s="53" t="s">
        <v>3341</v>
      </c>
      <c r="B374" s="22" t="s">
        <v>3337</v>
      </c>
      <c r="C374" s="22" t="s">
        <v>3328</v>
      </c>
      <c r="D374" s="62" t="s">
        <v>3338</v>
      </c>
      <c r="E374" s="69">
        <v>36.0</v>
      </c>
      <c r="F374" s="29" t="s">
        <v>15</v>
      </c>
      <c r="G374" s="25">
        <v>5400.0</v>
      </c>
      <c r="H374" s="2"/>
      <c r="I374" s="2"/>
      <c r="J374" s="2"/>
      <c r="K374" s="2"/>
      <c r="L374" s="2"/>
      <c r="M374" s="2"/>
      <c r="N374" s="2"/>
    </row>
    <row r="375" ht="24.0" customHeight="1">
      <c r="A375" s="53" t="s">
        <v>3342</v>
      </c>
      <c r="B375" s="60" t="s">
        <v>3343</v>
      </c>
      <c r="C375" s="22" t="s">
        <v>3344</v>
      </c>
      <c r="D375" s="52" t="s">
        <v>3345</v>
      </c>
      <c r="E375" s="165">
        <v>12.0</v>
      </c>
      <c r="F375" s="34" t="s">
        <v>15</v>
      </c>
      <c r="G375" s="33">
        <v>5220.0</v>
      </c>
      <c r="H375" s="2"/>
      <c r="I375" s="2"/>
      <c r="J375" s="2"/>
      <c r="K375" s="2"/>
      <c r="L375" s="2"/>
      <c r="M375" s="2"/>
      <c r="N375" s="2"/>
    </row>
    <row r="376" ht="24.0" customHeight="1">
      <c r="A376" s="53" t="s">
        <v>3346</v>
      </c>
      <c r="B376" s="60" t="s">
        <v>3347</v>
      </c>
      <c r="C376" s="22" t="s">
        <v>3344</v>
      </c>
      <c r="D376" s="52" t="s">
        <v>3345</v>
      </c>
      <c r="E376" s="165">
        <v>30.0</v>
      </c>
      <c r="F376" s="34" t="s">
        <v>15</v>
      </c>
      <c r="G376" s="33">
        <v>5220.0</v>
      </c>
      <c r="H376" s="2"/>
      <c r="I376" s="2"/>
      <c r="J376" s="2"/>
      <c r="K376" s="2"/>
      <c r="L376" s="2"/>
      <c r="M376" s="2"/>
      <c r="N376" s="2"/>
    </row>
    <row r="377" ht="24.0" customHeight="1">
      <c r="A377" s="53" t="s">
        <v>3348</v>
      </c>
      <c r="B377" s="29" t="s">
        <v>3349</v>
      </c>
      <c r="C377" s="27" t="s">
        <v>3350</v>
      </c>
      <c r="D377" s="62" t="s">
        <v>2324</v>
      </c>
      <c r="E377" s="69">
        <v>24.0</v>
      </c>
      <c r="F377" s="29" t="s">
        <v>15</v>
      </c>
      <c r="G377" s="25">
        <v>5220.0</v>
      </c>
      <c r="H377" s="2"/>
      <c r="I377" s="2"/>
      <c r="J377" s="2"/>
      <c r="K377" s="2"/>
      <c r="L377" s="2"/>
      <c r="M377" s="2"/>
      <c r="N377" s="2"/>
    </row>
    <row r="378" ht="24.0" customHeight="1">
      <c r="A378" s="53" t="s">
        <v>3351</v>
      </c>
      <c r="B378" s="29" t="s">
        <v>3352</v>
      </c>
      <c r="C378" s="27" t="s">
        <v>3353</v>
      </c>
      <c r="D378" s="62" t="s">
        <v>2324</v>
      </c>
      <c r="E378" s="69">
        <v>36.0</v>
      </c>
      <c r="F378" s="29" t="s">
        <v>15</v>
      </c>
      <c r="G378" s="25">
        <v>5220.0</v>
      </c>
      <c r="H378" s="2"/>
      <c r="I378" s="2"/>
      <c r="J378" s="2"/>
      <c r="K378" s="2"/>
      <c r="L378" s="2"/>
      <c r="M378" s="2"/>
      <c r="N378" s="2"/>
    </row>
    <row r="379" ht="24.0" customHeight="1">
      <c r="A379" s="53" t="s">
        <v>3354</v>
      </c>
      <c r="B379" s="60" t="s">
        <v>3355</v>
      </c>
      <c r="C379" s="22" t="s">
        <v>3344</v>
      </c>
      <c r="D379" s="52" t="s">
        <v>3356</v>
      </c>
      <c r="E379" s="165">
        <v>12.0</v>
      </c>
      <c r="F379" s="34" t="s">
        <v>15</v>
      </c>
      <c r="G379" s="33">
        <v>5550.0</v>
      </c>
      <c r="H379" s="2"/>
      <c r="I379" s="2"/>
      <c r="J379" s="2"/>
      <c r="K379" s="2"/>
      <c r="L379" s="2"/>
      <c r="M379" s="2"/>
      <c r="N379" s="2"/>
    </row>
    <row r="380" ht="24.0" customHeight="1">
      <c r="A380" s="53" t="s">
        <v>3357</v>
      </c>
      <c r="B380" s="60" t="s">
        <v>3358</v>
      </c>
      <c r="C380" s="22" t="s">
        <v>3344</v>
      </c>
      <c r="D380" s="52" t="s">
        <v>3356</v>
      </c>
      <c r="E380" s="69">
        <v>36.0</v>
      </c>
      <c r="F380" s="29" t="s">
        <v>15</v>
      </c>
      <c r="G380" s="33">
        <v>5550.0</v>
      </c>
      <c r="H380" s="2"/>
      <c r="I380" s="2"/>
      <c r="J380" s="2"/>
      <c r="K380" s="2"/>
      <c r="L380" s="2"/>
      <c r="M380" s="2"/>
      <c r="N380" s="2"/>
    </row>
    <row r="381" ht="24.0" customHeight="1">
      <c r="A381" s="53" t="s">
        <v>3359</v>
      </c>
      <c r="B381" s="53" t="s">
        <v>3360</v>
      </c>
      <c r="C381" s="22" t="s">
        <v>3361</v>
      </c>
      <c r="D381" s="62" t="s">
        <v>2958</v>
      </c>
      <c r="E381" s="69">
        <v>5.0</v>
      </c>
      <c r="F381" s="29" t="s">
        <v>15</v>
      </c>
      <c r="G381" s="25">
        <v>1800.0</v>
      </c>
      <c r="H381" s="2"/>
      <c r="I381" s="2"/>
      <c r="J381" s="2"/>
      <c r="K381" s="2"/>
      <c r="L381" s="2"/>
      <c r="M381" s="2"/>
      <c r="N381" s="2"/>
    </row>
    <row r="382" ht="24.0" customHeight="1">
      <c r="A382" s="53" t="s">
        <v>3362</v>
      </c>
      <c r="B382" s="60" t="s">
        <v>3363</v>
      </c>
      <c r="C382" s="22" t="s">
        <v>3361</v>
      </c>
      <c r="D382" s="52" t="s">
        <v>3364</v>
      </c>
      <c r="E382" s="69">
        <v>24.0</v>
      </c>
      <c r="F382" s="29" t="s">
        <v>15</v>
      </c>
      <c r="G382" s="33">
        <v>1900.0</v>
      </c>
      <c r="H382" s="2"/>
      <c r="I382" s="2"/>
      <c r="J382" s="2"/>
      <c r="K382" s="2"/>
      <c r="L382" s="2"/>
      <c r="M382" s="2"/>
      <c r="N382" s="2"/>
    </row>
    <row r="383" ht="24.0" customHeight="1">
      <c r="A383" s="53" t="s">
        <v>3365</v>
      </c>
      <c r="B383" s="53" t="s">
        <v>3366</v>
      </c>
      <c r="C383" s="22" t="s">
        <v>3367</v>
      </c>
      <c r="D383" s="62" t="s">
        <v>3368</v>
      </c>
      <c r="E383" s="69">
        <v>24.0</v>
      </c>
      <c r="F383" s="29" t="s">
        <v>15</v>
      </c>
      <c r="G383" s="25">
        <v>4800.0</v>
      </c>
      <c r="H383" s="2"/>
      <c r="I383" s="2"/>
      <c r="J383" s="2"/>
      <c r="K383" s="2"/>
      <c r="L383" s="2"/>
      <c r="M383" s="2"/>
      <c r="N383" s="2"/>
    </row>
    <row r="384" ht="24.0" customHeight="1">
      <c r="A384" s="22" t="s">
        <v>3369</v>
      </c>
      <c r="B384" s="22" t="s">
        <v>3370</v>
      </c>
      <c r="C384" s="22" t="s">
        <v>3371</v>
      </c>
      <c r="D384" s="51" t="s">
        <v>3332</v>
      </c>
      <c r="E384" s="69">
        <v>2.0</v>
      </c>
      <c r="F384" s="29" t="s">
        <v>15</v>
      </c>
      <c r="G384" s="25">
        <v>4680.0</v>
      </c>
      <c r="H384" s="2"/>
      <c r="I384" s="2"/>
      <c r="J384" s="2"/>
      <c r="K384" s="2"/>
      <c r="L384" s="2"/>
      <c r="M384" s="2"/>
      <c r="N384" s="2"/>
    </row>
    <row r="385" ht="24.0" customHeight="1">
      <c r="A385" s="22" t="s">
        <v>3372</v>
      </c>
      <c r="B385" s="22" t="s">
        <v>3373</v>
      </c>
      <c r="C385" s="22" t="s">
        <v>3371</v>
      </c>
      <c r="D385" s="51" t="s">
        <v>3374</v>
      </c>
      <c r="E385" s="69">
        <v>6.0</v>
      </c>
      <c r="F385" s="29" t="s">
        <v>15</v>
      </c>
      <c r="G385" s="25">
        <v>5500.0</v>
      </c>
      <c r="H385" s="2"/>
      <c r="I385" s="2"/>
      <c r="J385" s="2"/>
      <c r="K385" s="2"/>
      <c r="L385" s="2"/>
      <c r="M385" s="2"/>
      <c r="N385" s="2"/>
    </row>
    <row r="386" ht="24.0" customHeight="1">
      <c r="A386" s="22" t="s">
        <v>3375</v>
      </c>
      <c r="B386" s="22" t="s">
        <v>3376</v>
      </c>
      <c r="C386" s="22" t="s">
        <v>3371</v>
      </c>
      <c r="D386" s="51" t="s">
        <v>1374</v>
      </c>
      <c r="E386" s="69">
        <v>16.0</v>
      </c>
      <c r="F386" s="29" t="s">
        <v>15</v>
      </c>
      <c r="G386" s="25">
        <v>4200.0</v>
      </c>
      <c r="H386" s="2"/>
      <c r="I386" s="2"/>
      <c r="J386" s="2"/>
      <c r="K386" s="2"/>
      <c r="L386" s="2"/>
      <c r="M386" s="2"/>
      <c r="N386" s="2"/>
    </row>
    <row r="387" ht="24.0" customHeight="1">
      <c r="A387" s="22" t="s">
        <v>3377</v>
      </c>
      <c r="B387" s="22" t="s">
        <v>3376</v>
      </c>
      <c r="C387" s="22" t="s">
        <v>3371</v>
      </c>
      <c r="D387" s="51" t="s">
        <v>1374</v>
      </c>
      <c r="E387" s="69">
        <v>36.0</v>
      </c>
      <c r="F387" s="29" t="s">
        <v>15</v>
      </c>
      <c r="G387" s="25">
        <v>4200.0</v>
      </c>
      <c r="H387" s="2"/>
      <c r="I387" s="2"/>
      <c r="J387" s="2"/>
      <c r="K387" s="2"/>
      <c r="L387" s="2"/>
      <c r="M387" s="2"/>
      <c r="N387" s="2"/>
    </row>
    <row r="388" ht="24.0" customHeight="1">
      <c r="A388" s="53" t="s">
        <v>3378</v>
      </c>
      <c r="B388" s="22" t="s">
        <v>3379</v>
      </c>
      <c r="C388" s="22" t="s">
        <v>3371</v>
      </c>
      <c r="D388" s="62" t="s">
        <v>3380</v>
      </c>
      <c r="E388" s="69">
        <v>18.0</v>
      </c>
      <c r="F388" s="29" t="s">
        <v>15</v>
      </c>
      <c r="G388" s="25">
        <v>4150.0</v>
      </c>
      <c r="H388" s="2"/>
      <c r="I388" s="2"/>
      <c r="J388" s="2"/>
      <c r="K388" s="2"/>
      <c r="L388" s="2"/>
      <c r="M388" s="2"/>
      <c r="N388" s="2"/>
    </row>
    <row r="389" ht="24.0" customHeight="1">
      <c r="A389" s="53" t="s">
        <v>3381</v>
      </c>
      <c r="B389" s="22" t="s">
        <v>3379</v>
      </c>
      <c r="C389" s="22" t="s">
        <v>3371</v>
      </c>
      <c r="D389" s="62" t="s">
        <v>3380</v>
      </c>
      <c r="E389" s="69">
        <v>36.0</v>
      </c>
      <c r="F389" s="29" t="s">
        <v>15</v>
      </c>
      <c r="G389" s="25">
        <v>4150.0</v>
      </c>
      <c r="H389" s="2"/>
      <c r="I389" s="2"/>
      <c r="J389" s="2"/>
      <c r="K389" s="2"/>
      <c r="L389" s="2"/>
      <c r="M389" s="2"/>
      <c r="N389" s="2"/>
    </row>
    <row r="390" ht="24.0" customHeight="1">
      <c r="A390" s="53" t="s">
        <v>3382</v>
      </c>
      <c r="B390" s="22" t="s">
        <v>3379</v>
      </c>
      <c r="C390" s="22" t="s">
        <v>3371</v>
      </c>
      <c r="D390" s="62" t="s">
        <v>3380</v>
      </c>
      <c r="E390" s="69">
        <v>36.0</v>
      </c>
      <c r="F390" s="29" t="s">
        <v>15</v>
      </c>
      <c r="G390" s="25">
        <v>4150.0</v>
      </c>
      <c r="H390" s="2"/>
      <c r="I390" s="2"/>
      <c r="J390" s="2"/>
      <c r="K390" s="2"/>
      <c r="L390" s="2"/>
      <c r="M390" s="2"/>
      <c r="N390" s="2"/>
    </row>
    <row r="391" ht="24.0" customHeight="1">
      <c r="A391" s="53" t="s">
        <v>3383</v>
      </c>
      <c r="B391" s="22" t="s">
        <v>3384</v>
      </c>
      <c r="C391" s="22" t="s">
        <v>3385</v>
      </c>
      <c r="D391" s="62" t="s">
        <v>2699</v>
      </c>
      <c r="E391" s="69">
        <v>36.0</v>
      </c>
      <c r="F391" s="29" t="s">
        <v>15</v>
      </c>
      <c r="G391" s="25">
        <v>4600.0</v>
      </c>
      <c r="H391" s="2"/>
      <c r="I391" s="2"/>
      <c r="J391" s="2"/>
      <c r="K391" s="2"/>
      <c r="L391" s="2"/>
      <c r="M391" s="2"/>
      <c r="N391" s="2"/>
    </row>
    <row r="392" ht="24.0" customHeight="1">
      <c r="A392" s="53" t="s">
        <v>3386</v>
      </c>
      <c r="B392" s="22" t="s">
        <v>3384</v>
      </c>
      <c r="C392" s="22" t="s">
        <v>3387</v>
      </c>
      <c r="D392" s="62" t="s">
        <v>2699</v>
      </c>
      <c r="E392" s="69">
        <v>36.0</v>
      </c>
      <c r="F392" s="29" t="s">
        <v>15</v>
      </c>
      <c r="G392" s="25">
        <v>4600.0</v>
      </c>
      <c r="H392" s="2"/>
      <c r="I392" s="2"/>
      <c r="J392" s="2"/>
      <c r="K392" s="2"/>
      <c r="L392" s="2"/>
      <c r="M392" s="2"/>
      <c r="N392" s="2"/>
    </row>
    <row r="393" ht="24.0" customHeight="1">
      <c r="A393" s="53" t="s">
        <v>3388</v>
      </c>
      <c r="B393" s="22" t="s">
        <v>3389</v>
      </c>
      <c r="C393" s="22" t="s">
        <v>3371</v>
      </c>
      <c r="D393" s="32" t="s">
        <v>2915</v>
      </c>
      <c r="E393" s="69">
        <v>24.0</v>
      </c>
      <c r="F393" s="29" t="s">
        <v>15</v>
      </c>
      <c r="G393" s="25">
        <v>4300.0</v>
      </c>
      <c r="H393" s="2"/>
      <c r="I393" s="2"/>
      <c r="J393" s="2"/>
      <c r="K393" s="2"/>
      <c r="L393" s="2"/>
      <c r="M393" s="2"/>
      <c r="N393" s="2"/>
    </row>
    <row r="394" ht="24.0" customHeight="1">
      <c r="A394" s="53" t="s">
        <v>3390</v>
      </c>
      <c r="B394" s="22" t="s">
        <v>3389</v>
      </c>
      <c r="C394" s="22" t="s">
        <v>3371</v>
      </c>
      <c r="D394" s="32" t="s">
        <v>2915</v>
      </c>
      <c r="E394" s="69">
        <v>24.0</v>
      </c>
      <c r="F394" s="29" t="s">
        <v>15</v>
      </c>
      <c r="G394" s="25">
        <v>4300.0</v>
      </c>
      <c r="H394" s="2"/>
      <c r="I394" s="2"/>
      <c r="J394" s="2"/>
      <c r="K394" s="2"/>
      <c r="L394" s="2"/>
      <c r="M394" s="2"/>
      <c r="N394" s="2"/>
    </row>
    <row r="395" ht="24.0" customHeight="1">
      <c r="A395" s="53" t="s">
        <v>3391</v>
      </c>
      <c r="B395" s="60" t="s">
        <v>3392</v>
      </c>
      <c r="C395" s="22" t="s">
        <v>3367</v>
      </c>
      <c r="D395" s="32" t="s">
        <v>3393</v>
      </c>
      <c r="E395" s="165">
        <v>42.0</v>
      </c>
      <c r="F395" s="34" t="s">
        <v>15</v>
      </c>
      <c r="G395" s="33">
        <v>4600.0</v>
      </c>
      <c r="H395" s="2"/>
      <c r="I395" s="2"/>
      <c r="J395" s="2"/>
      <c r="K395" s="2"/>
      <c r="L395" s="2"/>
      <c r="M395" s="2"/>
      <c r="N395" s="2"/>
    </row>
    <row r="396" ht="24.0" customHeight="1">
      <c r="A396" s="53" t="s">
        <v>3394</v>
      </c>
      <c r="B396" s="29" t="s">
        <v>3395</v>
      </c>
      <c r="C396" s="27" t="s">
        <v>3396</v>
      </c>
      <c r="D396" s="62" t="s">
        <v>2958</v>
      </c>
      <c r="E396" s="69">
        <v>48.0</v>
      </c>
      <c r="F396" s="29" t="s">
        <v>15</v>
      </c>
      <c r="G396" s="25">
        <v>1900.0</v>
      </c>
      <c r="H396" s="2"/>
      <c r="I396" s="2"/>
      <c r="J396" s="2"/>
      <c r="K396" s="2"/>
      <c r="L396" s="2"/>
      <c r="M396" s="2"/>
      <c r="N396" s="2"/>
    </row>
    <row r="397" ht="24.0" customHeight="1">
      <c r="A397" s="53" t="s">
        <v>3397</v>
      </c>
      <c r="B397" s="164" t="s">
        <v>3398</v>
      </c>
      <c r="C397" s="22" t="s">
        <v>3396</v>
      </c>
      <c r="D397" s="32" t="s">
        <v>1070</v>
      </c>
      <c r="E397" s="165">
        <v>41.0</v>
      </c>
      <c r="F397" s="34" t="s">
        <v>15</v>
      </c>
      <c r="G397" s="33">
        <v>1900.0</v>
      </c>
      <c r="H397" s="2"/>
      <c r="I397" s="2"/>
      <c r="J397" s="2"/>
      <c r="K397" s="2"/>
      <c r="L397" s="2"/>
      <c r="M397" s="2"/>
      <c r="N397" s="2"/>
    </row>
    <row r="398" ht="24.0" hidden="1" customHeight="1">
      <c r="A398" s="2"/>
      <c r="B398" s="2"/>
      <c r="C398" s="2"/>
      <c r="D398" s="3"/>
      <c r="E398" s="4"/>
      <c r="F398" s="5"/>
      <c r="G398" s="31"/>
      <c r="H398" s="2"/>
      <c r="I398" s="2"/>
      <c r="J398" s="2"/>
      <c r="K398" s="2"/>
      <c r="L398" s="2"/>
      <c r="M398" s="2"/>
      <c r="N398" s="2"/>
    </row>
    <row r="399" ht="31.5" hidden="1" customHeight="1">
      <c r="A399" s="161" t="s">
        <v>3399</v>
      </c>
      <c r="B399" s="13"/>
      <c r="C399" s="13"/>
      <c r="D399" s="12"/>
      <c r="E399" s="20"/>
      <c r="F399" s="21"/>
      <c r="G399" s="159"/>
      <c r="H399" s="2"/>
      <c r="I399" s="2"/>
      <c r="J399" s="2"/>
      <c r="K399" s="2"/>
      <c r="L399" s="2"/>
      <c r="M399" s="2"/>
      <c r="N399" s="2"/>
    </row>
    <row r="400" ht="24.0" customHeight="1">
      <c r="A400" s="21" t="s">
        <v>0</v>
      </c>
      <c r="B400" s="21" t="s">
        <v>1</v>
      </c>
      <c r="C400" s="21" t="s">
        <v>2</v>
      </c>
      <c r="D400" s="11" t="s">
        <v>3</v>
      </c>
      <c r="E400" s="11" t="s">
        <v>2307</v>
      </c>
      <c r="F400" s="13"/>
      <c r="G400" s="159" t="s">
        <v>5</v>
      </c>
      <c r="H400" s="2"/>
      <c r="I400" s="2"/>
      <c r="J400" s="2"/>
      <c r="K400" s="2"/>
      <c r="L400" s="2"/>
      <c r="M400" s="2"/>
      <c r="N400" s="2"/>
    </row>
    <row r="401" ht="24.0" customHeight="1">
      <c r="A401" s="178" t="s">
        <v>3400</v>
      </c>
      <c r="B401" s="178" t="s">
        <v>3401</v>
      </c>
      <c r="C401" s="169" t="s">
        <v>3402</v>
      </c>
      <c r="D401" s="170">
        <v>100.0</v>
      </c>
      <c r="E401" s="181">
        <v>8.0</v>
      </c>
      <c r="F401" s="182" t="s">
        <v>15</v>
      </c>
      <c r="G401" s="173">
        <v>0.0</v>
      </c>
      <c r="H401" s="174"/>
      <c r="I401" s="174"/>
      <c r="J401" s="174"/>
      <c r="K401" s="174"/>
      <c r="L401" s="174"/>
      <c r="M401" s="174"/>
      <c r="N401" s="174"/>
    </row>
    <row r="402" ht="24.0" hidden="1" customHeight="1">
      <c r="A402" s="22"/>
      <c r="B402" s="55"/>
      <c r="C402" s="27"/>
      <c r="D402" s="32"/>
      <c r="E402" s="4"/>
      <c r="F402" s="5"/>
      <c r="G402" s="25"/>
      <c r="H402" s="2"/>
      <c r="I402" s="2"/>
      <c r="J402" s="2"/>
      <c r="K402" s="2"/>
      <c r="L402" s="2"/>
      <c r="M402" s="2"/>
      <c r="N402" s="2"/>
    </row>
    <row r="403" ht="31.5" hidden="1" customHeight="1">
      <c r="A403" s="161" t="s">
        <v>3403</v>
      </c>
      <c r="B403" s="13"/>
      <c r="C403" s="13"/>
      <c r="D403" s="12"/>
      <c r="E403" s="20"/>
      <c r="F403" s="21"/>
      <c r="G403" s="159"/>
      <c r="H403" s="2"/>
      <c r="I403" s="2"/>
      <c r="J403" s="2"/>
      <c r="K403" s="2"/>
      <c r="L403" s="2"/>
      <c r="M403" s="2"/>
      <c r="N403" s="2"/>
    </row>
    <row r="404" ht="24.0" customHeight="1">
      <c r="A404" s="21" t="s">
        <v>0</v>
      </c>
      <c r="B404" s="21" t="s">
        <v>1</v>
      </c>
      <c r="C404" s="21" t="s">
        <v>2</v>
      </c>
      <c r="D404" s="11" t="s">
        <v>3</v>
      </c>
      <c r="E404" s="11" t="s">
        <v>2307</v>
      </c>
      <c r="F404" s="13"/>
      <c r="G404" s="159" t="s">
        <v>5</v>
      </c>
      <c r="H404" s="2"/>
      <c r="I404" s="2"/>
      <c r="J404" s="2"/>
      <c r="K404" s="2"/>
      <c r="L404" s="2"/>
      <c r="M404" s="2"/>
      <c r="N404" s="2"/>
    </row>
    <row r="405" ht="24.0" customHeight="1">
      <c r="A405" s="178" t="s">
        <v>3404</v>
      </c>
      <c r="B405" s="190" t="s">
        <v>3405</v>
      </c>
      <c r="C405" s="169" t="s">
        <v>3406</v>
      </c>
      <c r="D405" s="170" t="s">
        <v>3407</v>
      </c>
      <c r="E405" s="181">
        <v>24.0</v>
      </c>
      <c r="F405" s="182" t="s">
        <v>15</v>
      </c>
      <c r="G405" s="173"/>
      <c r="H405" s="174"/>
      <c r="I405" s="174"/>
      <c r="J405" s="174"/>
      <c r="K405" s="174"/>
      <c r="L405" s="174"/>
      <c r="M405" s="174"/>
      <c r="N405" s="174"/>
    </row>
    <row r="406" ht="24.0" hidden="1" customHeight="1">
      <c r="A406" s="2"/>
      <c r="B406" s="2"/>
      <c r="C406" s="2"/>
      <c r="D406" s="3"/>
      <c r="E406" s="4"/>
      <c r="F406" s="5"/>
      <c r="G406" s="31"/>
      <c r="H406" s="2"/>
      <c r="I406" s="2"/>
      <c r="J406" s="2"/>
      <c r="K406" s="2"/>
      <c r="L406" s="2"/>
      <c r="M406" s="2"/>
      <c r="N406" s="2"/>
    </row>
    <row r="407" ht="31.5" hidden="1" customHeight="1">
      <c r="A407" s="161" t="s">
        <v>3408</v>
      </c>
      <c r="B407" s="13"/>
      <c r="C407" s="13"/>
      <c r="D407" s="12"/>
      <c r="E407" s="20"/>
      <c r="F407" s="21"/>
      <c r="G407" s="159"/>
      <c r="H407" s="2"/>
      <c r="I407" s="2"/>
      <c r="J407" s="2"/>
      <c r="K407" s="2"/>
      <c r="L407" s="2"/>
      <c r="M407" s="2"/>
      <c r="N407" s="2"/>
    </row>
    <row r="408" ht="24.0" customHeight="1">
      <c r="A408" s="21" t="s">
        <v>0</v>
      </c>
      <c r="B408" s="21" t="s">
        <v>1</v>
      </c>
      <c r="C408" s="21" t="s">
        <v>2</v>
      </c>
      <c r="D408" s="11" t="s">
        <v>3</v>
      </c>
      <c r="E408" s="11" t="s">
        <v>2307</v>
      </c>
      <c r="F408" s="13"/>
      <c r="G408" s="159" t="s">
        <v>5</v>
      </c>
      <c r="H408" s="2"/>
      <c r="I408" s="2"/>
      <c r="J408" s="2"/>
      <c r="K408" s="2"/>
      <c r="L408" s="2"/>
      <c r="M408" s="2"/>
      <c r="N408" s="2"/>
    </row>
    <row r="409" ht="24.0" customHeight="1">
      <c r="A409" s="5" t="s">
        <v>3409</v>
      </c>
      <c r="B409" s="53" t="s">
        <v>3410</v>
      </c>
      <c r="C409" s="5" t="s">
        <v>3411</v>
      </c>
      <c r="D409" s="32" t="s">
        <v>3412</v>
      </c>
      <c r="E409" s="4">
        <v>6.0</v>
      </c>
      <c r="F409" s="5" t="s">
        <v>15</v>
      </c>
      <c r="G409" s="163">
        <v>12460.0</v>
      </c>
      <c r="H409" s="2"/>
      <c r="I409" s="2"/>
      <c r="J409" s="2"/>
      <c r="K409" s="2"/>
      <c r="L409" s="2"/>
      <c r="M409" s="2"/>
      <c r="N409" s="2"/>
    </row>
    <row r="410" ht="24.0" customHeight="1">
      <c r="A410" s="5" t="s">
        <v>3413</v>
      </c>
      <c r="B410" s="53" t="s">
        <v>3414</v>
      </c>
      <c r="C410" s="5" t="s">
        <v>3415</v>
      </c>
      <c r="D410" s="32" t="s">
        <v>3412</v>
      </c>
      <c r="E410" s="4">
        <v>9.0</v>
      </c>
      <c r="F410" s="5" t="s">
        <v>15</v>
      </c>
      <c r="G410" s="163">
        <v>6700.0</v>
      </c>
      <c r="H410" s="2"/>
      <c r="I410" s="2"/>
      <c r="J410" s="2"/>
      <c r="K410" s="2"/>
      <c r="L410" s="2"/>
      <c r="M410" s="2"/>
      <c r="N410" s="2"/>
    </row>
    <row r="411" ht="24.0" customHeight="1">
      <c r="A411" s="5" t="s">
        <v>3416</v>
      </c>
      <c r="B411" s="60" t="s">
        <v>3417</v>
      </c>
      <c r="C411" s="27" t="s">
        <v>3418</v>
      </c>
      <c r="D411" s="162" t="s">
        <v>3419</v>
      </c>
      <c r="E411" s="4">
        <v>2.0</v>
      </c>
      <c r="F411" s="5" t="s">
        <v>15</v>
      </c>
      <c r="G411" s="163">
        <v>5220.0</v>
      </c>
      <c r="H411" s="2"/>
      <c r="I411" s="2"/>
      <c r="J411" s="2"/>
      <c r="K411" s="2"/>
      <c r="L411" s="2"/>
      <c r="M411" s="2"/>
      <c r="N411" s="2"/>
    </row>
    <row r="412" ht="24.0" customHeight="1">
      <c r="A412" s="53" t="s">
        <v>3420</v>
      </c>
      <c r="B412" s="30" t="s">
        <v>3421</v>
      </c>
      <c r="C412" s="27" t="s">
        <v>3422</v>
      </c>
      <c r="D412" s="62" t="s">
        <v>3423</v>
      </c>
      <c r="E412" s="4">
        <v>6.0</v>
      </c>
      <c r="F412" s="5" t="s">
        <v>15</v>
      </c>
      <c r="G412" s="25">
        <v>5000.0</v>
      </c>
      <c r="H412" s="2"/>
      <c r="I412" s="2"/>
      <c r="J412" s="2"/>
      <c r="K412" s="2"/>
      <c r="L412" s="2"/>
      <c r="M412" s="2"/>
      <c r="N412" s="2"/>
    </row>
    <row r="413" ht="24.0" customHeight="1">
      <c r="A413" s="53" t="s">
        <v>3424</v>
      </c>
      <c r="B413" s="30" t="s">
        <v>3425</v>
      </c>
      <c r="C413" s="27" t="s">
        <v>3426</v>
      </c>
      <c r="D413" s="62" t="s">
        <v>2607</v>
      </c>
      <c r="E413" s="4">
        <v>7.0</v>
      </c>
      <c r="F413" s="5" t="s">
        <v>15</v>
      </c>
      <c r="G413" s="25">
        <v>4500.0</v>
      </c>
      <c r="H413" s="2"/>
      <c r="I413" s="2"/>
      <c r="J413" s="2"/>
      <c r="K413" s="2"/>
      <c r="L413" s="2"/>
      <c r="M413" s="2"/>
      <c r="N413" s="2"/>
    </row>
    <row r="414" ht="24.0" customHeight="1">
      <c r="A414" s="53" t="s">
        <v>3427</v>
      </c>
      <c r="B414" s="29" t="s">
        <v>3428</v>
      </c>
      <c r="C414" s="27" t="s">
        <v>3429</v>
      </c>
      <c r="D414" s="62" t="s">
        <v>3412</v>
      </c>
      <c r="E414" s="4">
        <v>24.0</v>
      </c>
      <c r="F414" s="5" t="s">
        <v>15</v>
      </c>
      <c r="G414" s="25">
        <v>4950.0</v>
      </c>
      <c r="H414" s="2"/>
      <c r="I414" s="2"/>
      <c r="J414" s="2"/>
      <c r="K414" s="2"/>
      <c r="L414" s="2"/>
      <c r="M414" s="2"/>
      <c r="N414" s="2"/>
    </row>
    <row r="415" ht="24.0" hidden="1" customHeight="1">
      <c r="A415" s="29" t="s">
        <v>3430</v>
      </c>
      <c r="B415" s="53" t="s">
        <v>3431</v>
      </c>
      <c r="C415" s="5" t="s">
        <v>3432</v>
      </c>
      <c r="D415" s="62" t="s">
        <v>2442</v>
      </c>
      <c r="E415" s="4"/>
      <c r="F415" s="5"/>
      <c r="G415" s="163">
        <v>4300.0</v>
      </c>
      <c r="H415" s="2"/>
      <c r="I415" s="2"/>
      <c r="J415" s="2"/>
      <c r="K415" s="2"/>
      <c r="L415" s="2"/>
      <c r="M415" s="2"/>
      <c r="N415" s="2"/>
    </row>
    <row r="416" ht="24.0" customHeight="1">
      <c r="A416" s="53" t="s">
        <v>3433</v>
      </c>
      <c r="B416" s="60" t="s">
        <v>3434</v>
      </c>
      <c r="C416" s="22" t="s">
        <v>3435</v>
      </c>
      <c r="D416" s="32" t="s">
        <v>3436</v>
      </c>
      <c r="E416" s="69">
        <v>20.0</v>
      </c>
      <c r="F416" s="29" t="s">
        <v>15</v>
      </c>
      <c r="G416" s="33">
        <v>4850.0</v>
      </c>
      <c r="H416" s="2"/>
      <c r="I416" s="2"/>
      <c r="J416" s="2"/>
      <c r="K416" s="2"/>
      <c r="L416" s="2"/>
      <c r="M416" s="2"/>
      <c r="N416" s="2"/>
    </row>
    <row r="417" ht="24.0" customHeight="1">
      <c r="A417" s="53" t="s">
        <v>3437</v>
      </c>
      <c r="B417" s="60" t="s">
        <v>3438</v>
      </c>
      <c r="C417" s="27" t="s">
        <v>3439</v>
      </c>
      <c r="D417" s="62" t="s">
        <v>1094</v>
      </c>
      <c r="E417" s="4">
        <v>12.0</v>
      </c>
      <c r="F417" s="5" t="s">
        <v>15</v>
      </c>
      <c r="G417" s="25">
        <v>3690.0</v>
      </c>
      <c r="H417" s="2"/>
      <c r="I417" s="2"/>
      <c r="J417" s="2"/>
      <c r="K417" s="2"/>
      <c r="L417" s="2"/>
      <c r="M417" s="2"/>
      <c r="N417" s="2"/>
    </row>
    <row r="418" ht="24.0" customHeight="1">
      <c r="A418" s="53" t="s">
        <v>3440</v>
      </c>
      <c r="B418" s="60" t="s">
        <v>3441</v>
      </c>
      <c r="C418" s="22" t="s">
        <v>3442</v>
      </c>
      <c r="D418" s="32" t="s">
        <v>2607</v>
      </c>
      <c r="E418" s="69">
        <v>18.0</v>
      </c>
      <c r="F418" s="29" t="s">
        <v>15</v>
      </c>
      <c r="G418" s="33">
        <v>4350.0</v>
      </c>
      <c r="H418" s="2"/>
      <c r="I418" s="2"/>
      <c r="J418" s="2"/>
      <c r="K418" s="2"/>
      <c r="L418" s="2"/>
      <c r="M418" s="2"/>
      <c r="N418" s="2"/>
    </row>
    <row r="419" ht="15.75" customHeight="1">
      <c r="A419" s="53" t="s">
        <v>3443</v>
      </c>
      <c r="B419" s="60" t="s">
        <v>3444</v>
      </c>
      <c r="C419" s="22" t="s">
        <v>3445</v>
      </c>
      <c r="D419" s="52" t="s">
        <v>3446</v>
      </c>
      <c r="E419" s="69">
        <v>12.0</v>
      </c>
      <c r="F419" s="29" t="s">
        <v>15</v>
      </c>
      <c r="G419" s="33">
        <v>6000.0</v>
      </c>
      <c r="H419" s="2"/>
      <c r="I419" s="2"/>
      <c r="J419" s="2"/>
      <c r="K419" s="2"/>
      <c r="L419" s="2"/>
      <c r="M419" s="2"/>
      <c r="N419" s="2"/>
    </row>
    <row r="420" ht="24.0" customHeight="1">
      <c r="A420" s="53" t="s">
        <v>3447</v>
      </c>
      <c r="B420" s="60" t="s">
        <v>3448</v>
      </c>
      <c r="C420" s="22" t="s">
        <v>3449</v>
      </c>
      <c r="D420" s="32" t="s">
        <v>1094</v>
      </c>
      <c r="E420" s="69">
        <v>27.0</v>
      </c>
      <c r="F420" s="29" t="s">
        <v>15</v>
      </c>
      <c r="G420" s="33">
        <v>2400.0</v>
      </c>
      <c r="H420" s="2"/>
      <c r="I420" s="2"/>
      <c r="J420" s="2"/>
      <c r="K420" s="2"/>
      <c r="L420" s="2"/>
      <c r="M420" s="2"/>
      <c r="N420" s="2"/>
    </row>
    <row r="421" ht="24.0" customHeight="1">
      <c r="A421" s="53" t="s">
        <v>3450</v>
      </c>
      <c r="B421" s="60" t="s">
        <v>3451</v>
      </c>
      <c r="C421" s="22" t="s">
        <v>3452</v>
      </c>
      <c r="D421" s="32" t="s">
        <v>413</v>
      </c>
      <c r="E421" s="69">
        <v>10.0</v>
      </c>
      <c r="F421" s="29" t="s">
        <v>15</v>
      </c>
      <c r="G421" s="33">
        <v>1200.0</v>
      </c>
      <c r="H421" s="2"/>
      <c r="I421" s="2"/>
      <c r="J421" s="2"/>
      <c r="K421" s="2"/>
      <c r="L421" s="2"/>
      <c r="M421" s="2"/>
      <c r="N421" s="2"/>
    </row>
    <row r="422" ht="24.0" hidden="1" customHeight="1">
      <c r="A422" s="5" t="s">
        <v>3453</v>
      </c>
      <c r="B422" s="5" t="s">
        <v>3454</v>
      </c>
      <c r="C422" s="5" t="s">
        <v>3455</v>
      </c>
      <c r="D422" s="32" t="s">
        <v>3456</v>
      </c>
      <c r="E422" s="4"/>
      <c r="F422" s="5"/>
      <c r="G422" s="163">
        <v>900.0</v>
      </c>
      <c r="H422" s="2"/>
      <c r="I422" s="2"/>
      <c r="J422" s="2"/>
      <c r="K422" s="2"/>
      <c r="L422" s="2"/>
      <c r="M422" s="2"/>
      <c r="N422" s="2"/>
    </row>
    <row r="423" ht="24.0" customHeight="1">
      <c r="A423" s="22" t="s">
        <v>3457</v>
      </c>
      <c r="B423" s="22" t="s">
        <v>3458</v>
      </c>
      <c r="C423" s="27" t="s">
        <v>3459</v>
      </c>
      <c r="D423" s="32" t="s">
        <v>3460</v>
      </c>
      <c r="E423" s="69">
        <v>3.0</v>
      </c>
      <c r="F423" s="29" t="s">
        <v>15</v>
      </c>
      <c r="G423" s="25">
        <v>3800.0</v>
      </c>
      <c r="H423" s="2"/>
      <c r="I423" s="2"/>
      <c r="J423" s="2"/>
      <c r="K423" s="2"/>
      <c r="L423" s="2"/>
      <c r="M423" s="2"/>
      <c r="N423" s="2"/>
    </row>
    <row r="424" ht="24.0" customHeight="1">
      <c r="A424" s="22" t="s">
        <v>3461</v>
      </c>
      <c r="B424" s="22" t="s">
        <v>3462</v>
      </c>
      <c r="C424" s="27" t="s">
        <v>3463</v>
      </c>
      <c r="D424" s="32" t="s">
        <v>3464</v>
      </c>
      <c r="E424" s="69">
        <v>3.0</v>
      </c>
      <c r="F424" s="29" t="s">
        <v>15</v>
      </c>
      <c r="G424" s="25">
        <v>4600.0</v>
      </c>
      <c r="H424" s="2"/>
      <c r="I424" s="2"/>
      <c r="J424" s="2"/>
      <c r="K424" s="2"/>
      <c r="L424" s="2"/>
      <c r="M424" s="2"/>
      <c r="N424" s="2"/>
    </row>
    <row r="425" ht="24.0" customHeight="1">
      <c r="A425" s="22" t="s">
        <v>3465</v>
      </c>
      <c r="B425" s="22" t="s">
        <v>3466</v>
      </c>
      <c r="C425" s="27" t="s">
        <v>3463</v>
      </c>
      <c r="D425" s="32" t="s">
        <v>3467</v>
      </c>
      <c r="E425" s="69">
        <v>10.0</v>
      </c>
      <c r="F425" s="29" t="s">
        <v>15</v>
      </c>
      <c r="G425" s="25">
        <v>3600.0</v>
      </c>
      <c r="H425" s="2"/>
      <c r="I425" s="2"/>
      <c r="J425" s="2"/>
      <c r="K425" s="2"/>
      <c r="L425" s="2"/>
      <c r="M425" s="2"/>
      <c r="N425" s="2"/>
    </row>
    <row r="426" ht="24.0" hidden="1" customHeight="1">
      <c r="A426" s="22" t="s">
        <v>3468</v>
      </c>
      <c r="B426" s="22" t="s">
        <v>3469</v>
      </c>
      <c r="C426" s="27" t="s">
        <v>3463</v>
      </c>
      <c r="D426" s="32" t="s">
        <v>3470</v>
      </c>
      <c r="E426" s="69"/>
      <c r="F426" s="29"/>
      <c r="G426" s="25">
        <v>3200.0</v>
      </c>
      <c r="H426" s="2"/>
      <c r="I426" s="2"/>
      <c r="J426" s="2"/>
      <c r="K426" s="2"/>
      <c r="L426" s="2"/>
      <c r="M426" s="2"/>
      <c r="N426" s="2"/>
    </row>
    <row r="427" ht="24.0" hidden="1" customHeight="1">
      <c r="A427" s="2"/>
      <c r="B427" s="2"/>
      <c r="C427" s="2"/>
      <c r="D427" s="3"/>
      <c r="E427" s="4"/>
      <c r="F427" s="5"/>
      <c r="G427" s="31"/>
      <c r="H427" s="2"/>
      <c r="I427" s="2"/>
      <c r="J427" s="2"/>
      <c r="K427" s="2"/>
      <c r="L427" s="2"/>
      <c r="M427" s="2"/>
      <c r="N427" s="2"/>
    </row>
    <row r="428" ht="31.5" hidden="1" customHeight="1">
      <c r="A428" s="161" t="s">
        <v>3471</v>
      </c>
      <c r="B428" s="13"/>
      <c r="C428" s="13"/>
      <c r="D428" s="12"/>
      <c r="E428" s="20"/>
      <c r="F428" s="21"/>
      <c r="G428" s="159"/>
      <c r="H428" s="2"/>
      <c r="I428" s="2"/>
      <c r="J428" s="2"/>
      <c r="K428" s="2"/>
      <c r="L428" s="2"/>
      <c r="M428" s="2"/>
      <c r="N428" s="2"/>
    </row>
    <row r="429" ht="24.0" customHeight="1">
      <c r="A429" s="21" t="s">
        <v>0</v>
      </c>
      <c r="B429" s="21" t="s">
        <v>1</v>
      </c>
      <c r="C429" s="21" t="s">
        <v>2</v>
      </c>
      <c r="D429" s="11" t="s">
        <v>3</v>
      </c>
      <c r="E429" s="11" t="s">
        <v>2307</v>
      </c>
      <c r="F429" s="13"/>
      <c r="G429" s="159" t="s">
        <v>5</v>
      </c>
      <c r="H429" s="2"/>
      <c r="I429" s="2"/>
      <c r="J429" s="2"/>
      <c r="K429" s="2"/>
      <c r="L429" s="2"/>
      <c r="M429" s="2"/>
      <c r="N429" s="2"/>
    </row>
    <row r="430" ht="24.0" hidden="1" customHeight="1">
      <c r="A430" s="79" t="s">
        <v>3472</v>
      </c>
      <c r="B430" s="79" t="s">
        <v>3473</v>
      </c>
      <c r="C430" s="79" t="s">
        <v>3474</v>
      </c>
      <c r="D430" s="191" t="s">
        <v>3475</v>
      </c>
      <c r="E430" s="114"/>
      <c r="F430" s="115"/>
      <c r="G430" s="192" t="s">
        <v>3476</v>
      </c>
      <c r="H430" s="2"/>
      <c r="I430" s="2"/>
      <c r="J430" s="2"/>
      <c r="K430" s="2"/>
      <c r="L430" s="2"/>
      <c r="M430" s="2"/>
      <c r="N430" s="2"/>
    </row>
    <row r="431" ht="24.0" customHeight="1">
      <c r="A431" s="79" t="s">
        <v>3477</v>
      </c>
      <c r="B431" s="79" t="s">
        <v>3478</v>
      </c>
      <c r="C431" s="79" t="s">
        <v>3474</v>
      </c>
      <c r="D431" s="191">
        <v>94.0</v>
      </c>
      <c r="E431" s="114">
        <v>3.0</v>
      </c>
      <c r="F431" s="115" t="s">
        <v>15</v>
      </c>
      <c r="G431" s="193"/>
      <c r="H431" s="2"/>
      <c r="I431" s="2"/>
      <c r="J431" s="2"/>
      <c r="K431" s="2"/>
      <c r="L431" s="2"/>
      <c r="M431" s="2"/>
      <c r="N431" s="2"/>
    </row>
    <row r="432" ht="24.0" customHeight="1">
      <c r="A432" s="79" t="s">
        <v>3479</v>
      </c>
      <c r="B432" s="79" t="s">
        <v>3480</v>
      </c>
      <c r="C432" s="79" t="s">
        <v>3474</v>
      </c>
      <c r="D432" s="191">
        <v>93.0</v>
      </c>
      <c r="E432" s="114">
        <v>3.0</v>
      </c>
      <c r="F432" s="115" t="s">
        <v>15</v>
      </c>
      <c r="G432" s="193"/>
      <c r="H432" s="2"/>
      <c r="I432" s="2"/>
      <c r="J432" s="2"/>
      <c r="K432" s="2"/>
      <c r="L432" s="2"/>
      <c r="M432" s="2"/>
      <c r="N432" s="2"/>
    </row>
    <row r="433" ht="24.0" customHeight="1">
      <c r="A433" s="79" t="s">
        <v>3481</v>
      </c>
      <c r="B433" s="79" t="s">
        <v>3482</v>
      </c>
      <c r="C433" s="79" t="s">
        <v>3474</v>
      </c>
      <c r="D433" s="191" t="s">
        <v>3483</v>
      </c>
      <c r="E433" s="114">
        <v>3.0</v>
      </c>
      <c r="F433" s="115" t="s">
        <v>15</v>
      </c>
      <c r="G433" s="193"/>
      <c r="H433" s="2"/>
      <c r="I433" s="2"/>
      <c r="J433" s="2"/>
      <c r="K433" s="2"/>
      <c r="L433" s="2"/>
      <c r="M433" s="2"/>
      <c r="N433" s="2"/>
    </row>
    <row r="434" ht="24.0" customHeight="1">
      <c r="A434" s="79" t="s">
        <v>3484</v>
      </c>
      <c r="B434" s="79" t="s">
        <v>3485</v>
      </c>
      <c r="C434" s="79" t="s">
        <v>3474</v>
      </c>
      <c r="D434" s="191">
        <v>93.0</v>
      </c>
      <c r="E434" s="114">
        <v>3.0</v>
      </c>
      <c r="F434" s="115" t="s">
        <v>15</v>
      </c>
      <c r="G434" s="193"/>
      <c r="H434" s="2"/>
      <c r="I434" s="2"/>
      <c r="J434" s="2"/>
      <c r="K434" s="2"/>
      <c r="L434" s="2"/>
      <c r="M434" s="2"/>
      <c r="N434" s="2"/>
    </row>
    <row r="435" ht="24.0" customHeight="1">
      <c r="A435" s="79" t="s">
        <v>3486</v>
      </c>
      <c r="B435" s="79" t="s">
        <v>3487</v>
      </c>
      <c r="C435" s="79" t="s">
        <v>3474</v>
      </c>
      <c r="D435" s="191">
        <v>96.0</v>
      </c>
      <c r="E435" s="114">
        <v>3.0</v>
      </c>
      <c r="F435" s="115" t="s">
        <v>15</v>
      </c>
      <c r="G435" s="193"/>
      <c r="H435" s="2"/>
      <c r="I435" s="2"/>
      <c r="J435" s="2"/>
      <c r="K435" s="2"/>
      <c r="L435" s="2"/>
      <c r="M435" s="2"/>
      <c r="N435" s="2"/>
    </row>
    <row r="436" ht="24.0" customHeight="1">
      <c r="A436" s="79" t="s">
        <v>3488</v>
      </c>
      <c r="B436" s="79" t="s">
        <v>3489</v>
      </c>
      <c r="C436" s="79" t="s">
        <v>3474</v>
      </c>
      <c r="D436" s="191" t="s">
        <v>3490</v>
      </c>
      <c r="E436" s="114">
        <v>3.0</v>
      </c>
      <c r="F436" s="115" t="s">
        <v>15</v>
      </c>
      <c r="G436" s="193"/>
      <c r="H436" s="2"/>
      <c r="I436" s="2"/>
      <c r="J436" s="2"/>
      <c r="K436" s="2"/>
      <c r="L436" s="2"/>
      <c r="M436" s="2"/>
      <c r="N436" s="2"/>
    </row>
    <row r="437" ht="24.0" customHeight="1">
      <c r="A437" s="79" t="s">
        <v>3491</v>
      </c>
      <c r="B437" s="79" t="s">
        <v>3492</v>
      </c>
      <c r="C437" s="79" t="s">
        <v>3474</v>
      </c>
      <c r="D437" s="191">
        <v>92.0</v>
      </c>
      <c r="E437" s="114">
        <v>4.0</v>
      </c>
      <c r="F437" s="115" t="s">
        <v>15</v>
      </c>
      <c r="G437" s="193"/>
      <c r="H437" s="2"/>
      <c r="I437" s="2"/>
      <c r="J437" s="2"/>
      <c r="K437" s="2"/>
      <c r="L437" s="2"/>
      <c r="M437" s="2"/>
      <c r="N437" s="2"/>
    </row>
    <row r="438" ht="24.0" customHeight="1">
      <c r="A438" s="79" t="s">
        <v>3493</v>
      </c>
      <c r="B438" s="79" t="s">
        <v>3494</v>
      </c>
      <c r="C438" s="79" t="s">
        <v>3474</v>
      </c>
      <c r="D438" s="191">
        <v>94.0</v>
      </c>
      <c r="E438" s="114">
        <v>4.0</v>
      </c>
      <c r="F438" s="115" t="s">
        <v>15</v>
      </c>
      <c r="G438" s="193"/>
      <c r="H438" s="2"/>
      <c r="I438" s="2"/>
      <c r="J438" s="2"/>
      <c r="K438" s="2"/>
      <c r="L438" s="2"/>
      <c r="M438" s="2"/>
      <c r="N438" s="2"/>
    </row>
    <row r="439" ht="24.0" customHeight="1">
      <c r="A439" s="79" t="s">
        <v>3495</v>
      </c>
      <c r="B439" s="79" t="s">
        <v>3496</v>
      </c>
      <c r="C439" s="79" t="s">
        <v>3474</v>
      </c>
      <c r="D439" s="191">
        <v>99.0</v>
      </c>
      <c r="E439" s="114">
        <v>4.0</v>
      </c>
      <c r="F439" s="115" t="s">
        <v>15</v>
      </c>
      <c r="G439" s="193"/>
      <c r="H439" s="2"/>
      <c r="I439" s="2"/>
      <c r="J439" s="2"/>
      <c r="K439" s="2"/>
      <c r="L439" s="2"/>
      <c r="M439" s="2"/>
      <c r="N439" s="2"/>
    </row>
    <row r="440" ht="24.0" customHeight="1">
      <c r="A440" s="79" t="s">
        <v>3497</v>
      </c>
      <c r="B440" s="79" t="s">
        <v>3498</v>
      </c>
      <c r="C440" s="79" t="s">
        <v>3474</v>
      </c>
      <c r="D440" s="191" t="s">
        <v>3499</v>
      </c>
      <c r="E440" s="114">
        <v>3.0</v>
      </c>
      <c r="F440" s="115" t="s">
        <v>15</v>
      </c>
      <c r="G440" s="193"/>
      <c r="H440" s="2"/>
      <c r="I440" s="2"/>
      <c r="J440" s="2"/>
      <c r="K440" s="2"/>
      <c r="L440" s="2"/>
      <c r="M440" s="2"/>
      <c r="N440" s="2"/>
    </row>
    <row r="441" ht="24.0" customHeight="1">
      <c r="A441" s="79" t="s">
        <v>3500</v>
      </c>
      <c r="B441" s="79" t="s">
        <v>3501</v>
      </c>
      <c r="C441" s="79" t="s">
        <v>3474</v>
      </c>
      <c r="D441" s="191" t="s">
        <v>3502</v>
      </c>
      <c r="E441" s="114">
        <v>3.0</v>
      </c>
      <c r="F441" s="115" t="s">
        <v>15</v>
      </c>
      <c r="G441" s="194"/>
      <c r="H441" s="2"/>
      <c r="I441" s="2"/>
      <c r="J441" s="2"/>
      <c r="K441" s="2"/>
      <c r="L441" s="2"/>
      <c r="M441" s="2"/>
      <c r="N441" s="2"/>
    </row>
    <row r="442" ht="24.0" customHeight="1">
      <c r="A442" s="195" t="s">
        <v>1540</v>
      </c>
      <c r="B442" s="111"/>
      <c r="C442" s="196"/>
      <c r="D442" s="179"/>
      <c r="E442" s="181">
        <f>SUM(E6:E441)</f>
        <v>5174</v>
      </c>
      <c r="F442" s="182"/>
      <c r="G442" s="197"/>
      <c r="H442" s="174"/>
      <c r="I442" s="174"/>
      <c r="J442" s="174"/>
      <c r="K442" s="174"/>
      <c r="L442" s="174"/>
      <c r="M442" s="174"/>
      <c r="N442" s="174"/>
    </row>
    <row r="443" ht="7.5" hidden="1" customHeight="1">
      <c r="A443" s="198"/>
      <c r="B443" s="199"/>
      <c r="C443" s="200"/>
      <c r="D443" s="128"/>
      <c r="E443" s="125"/>
      <c r="F443" s="126"/>
      <c r="G443" s="201"/>
      <c r="H443" s="202"/>
      <c r="I443" s="202"/>
      <c r="J443" s="202"/>
      <c r="K443" s="202"/>
      <c r="L443" s="202"/>
      <c r="M443" s="202"/>
      <c r="N443" s="202"/>
    </row>
    <row r="444" ht="15.75" hidden="1" customHeight="1">
      <c r="A444" s="203" t="s">
        <v>3503</v>
      </c>
      <c r="B444" s="2"/>
      <c r="C444" s="2"/>
      <c r="D444" s="3" t="s">
        <v>3504</v>
      </c>
      <c r="E444" s="4"/>
      <c r="F444" s="5"/>
      <c r="G444" s="31"/>
      <c r="H444" s="2"/>
      <c r="I444" s="2"/>
      <c r="J444" s="2"/>
      <c r="K444" s="2"/>
      <c r="L444" s="2"/>
      <c r="M444" s="2"/>
      <c r="N444" s="2"/>
    </row>
    <row r="445" ht="24.0" customHeight="1">
      <c r="A445" s="21" t="s">
        <v>0</v>
      </c>
      <c r="B445" s="21" t="s">
        <v>1</v>
      </c>
      <c r="C445" s="21" t="s">
        <v>2</v>
      </c>
      <c r="D445" s="12" t="s">
        <v>3</v>
      </c>
      <c r="E445" s="11" t="s">
        <v>1543</v>
      </c>
      <c r="F445" s="13"/>
      <c r="G445" s="159" t="s">
        <v>5</v>
      </c>
      <c r="H445" s="2"/>
      <c r="I445" s="2"/>
      <c r="J445" s="2"/>
      <c r="K445" s="2"/>
      <c r="L445" s="2"/>
      <c r="M445" s="2"/>
      <c r="N445" s="2"/>
    </row>
    <row r="446" ht="15.75" hidden="1" customHeight="1">
      <c r="A446" s="60" t="s">
        <v>3505</v>
      </c>
      <c r="B446" s="164" t="s">
        <v>3506</v>
      </c>
      <c r="C446" s="60" t="s">
        <v>3507</v>
      </c>
      <c r="D446" s="51">
        <v>98.0</v>
      </c>
      <c r="E446" s="4"/>
      <c r="F446" s="5"/>
      <c r="G446" s="204" t="s">
        <v>3508</v>
      </c>
      <c r="H446" s="2"/>
      <c r="I446" s="2"/>
      <c r="J446" s="2"/>
      <c r="K446" s="2"/>
      <c r="L446" s="2"/>
      <c r="M446" s="2"/>
      <c r="N446" s="2"/>
    </row>
    <row r="447" ht="15.75" hidden="1" customHeight="1">
      <c r="A447" s="60" t="s">
        <v>3509</v>
      </c>
      <c r="B447" s="164" t="s">
        <v>3510</v>
      </c>
      <c r="C447" s="60" t="s">
        <v>3511</v>
      </c>
      <c r="D447" s="51">
        <v>94.0</v>
      </c>
      <c r="E447" s="4"/>
      <c r="F447" s="5"/>
      <c r="H447" s="2"/>
      <c r="I447" s="2"/>
      <c r="J447" s="2"/>
      <c r="K447" s="2"/>
      <c r="L447" s="2"/>
      <c r="M447" s="2"/>
      <c r="N447" s="2"/>
    </row>
    <row r="448" ht="15.75" hidden="1" customHeight="1">
      <c r="A448" s="60" t="s">
        <v>3512</v>
      </c>
      <c r="B448" s="164" t="s">
        <v>3513</v>
      </c>
      <c r="C448" s="60" t="s">
        <v>3514</v>
      </c>
      <c r="D448" s="51">
        <v>95.0</v>
      </c>
      <c r="E448" s="4"/>
      <c r="F448" s="5"/>
      <c r="H448" s="2"/>
      <c r="I448" s="2"/>
      <c r="J448" s="2"/>
      <c r="K448" s="2"/>
      <c r="L448" s="2"/>
      <c r="M448" s="2"/>
      <c r="N448" s="2"/>
    </row>
    <row r="449" ht="15.75" hidden="1" customHeight="1">
      <c r="A449" s="60" t="s">
        <v>3515</v>
      </c>
      <c r="B449" s="164" t="s">
        <v>3516</v>
      </c>
      <c r="C449" s="60" t="s">
        <v>3517</v>
      </c>
      <c r="D449" s="51">
        <v>96.0</v>
      </c>
      <c r="E449" s="4"/>
      <c r="F449" s="5"/>
      <c r="H449" s="2"/>
      <c r="I449" s="2"/>
      <c r="J449" s="2"/>
      <c r="K449" s="2"/>
      <c r="L449" s="2"/>
      <c r="M449" s="2"/>
      <c r="N449" s="2"/>
    </row>
    <row r="450" ht="15.75" hidden="1" customHeight="1">
      <c r="A450" s="60" t="s">
        <v>3518</v>
      </c>
      <c r="B450" s="164" t="s">
        <v>3519</v>
      </c>
      <c r="C450" s="60" t="s">
        <v>3520</v>
      </c>
      <c r="D450" s="51">
        <v>94.0</v>
      </c>
      <c r="E450" s="4"/>
      <c r="F450" s="5"/>
      <c r="H450" s="2"/>
      <c r="I450" s="2"/>
      <c r="J450" s="2"/>
      <c r="K450" s="2"/>
      <c r="L450" s="2"/>
      <c r="M450" s="2"/>
      <c r="N450" s="2"/>
    </row>
    <row r="451" ht="15.75" hidden="1" customHeight="1">
      <c r="A451" s="60" t="s">
        <v>3521</v>
      </c>
      <c r="B451" s="164" t="s">
        <v>3522</v>
      </c>
      <c r="C451" s="60" t="s">
        <v>3523</v>
      </c>
      <c r="D451" s="51">
        <v>90.0</v>
      </c>
      <c r="E451" s="4"/>
      <c r="F451" s="5"/>
      <c r="H451" s="2"/>
      <c r="I451" s="2"/>
      <c r="J451" s="2"/>
      <c r="K451" s="2"/>
      <c r="L451" s="2"/>
      <c r="M451" s="2"/>
      <c r="N451" s="2"/>
    </row>
    <row r="452" ht="15.75" hidden="1" customHeight="1">
      <c r="A452" s="60" t="s">
        <v>3524</v>
      </c>
      <c r="B452" s="164" t="s">
        <v>3525</v>
      </c>
      <c r="C452" s="60" t="s">
        <v>3526</v>
      </c>
      <c r="D452" s="51">
        <v>88.0</v>
      </c>
      <c r="E452" s="4"/>
      <c r="F452" s="5"/>
      <c r="H452" s="2"/>
      <c r="I452" s="2"/>
      <c r="J452" s="2"/>
      <c r="K452" s="2"/>
      <c r="L452" s="2"/>
      <c r="M452" s="2"/>
      <c r="N452" s="2"/>
    </row>
    <row r="453" ht="15.75" hidden="1" customHeight="1">
      <c r="A453" s="60" t="s">
        <v>3527</v>
      </c>
      <c r="B453" s="164" t="s">
        <v>3528</v>
      </c>
      <c r="C453" s="60" t="s">
        <v>3529</v>
      </c>
      <c r="D453" s="51">
        <v>93.0</v>
      </c>
      <c r="E453" s="4"/>
      <c r="F453" s="5"/>
      <c r="H453" s="2"/>
      <c r="I453" s="2"/>
      <c r="J453" s="2"/>
      <c r="K453" s="2"/>
      <c r="L453" s="2"/>
      <c r="M453" s="2"/>
      <c r="N453" s="2"/>
    </row>
    <row r="454" ht="15.75" hidden="1" customHeight="1">
      <c r="A454" s="60" t="s">
        <v>3530</v>
      </c>
      <c r="B454" s="164" t="s">
        <v>3531</v>
      </c>
      <c r="C454" s="60" t="s">
        <v>3532</v>
      </c>
      <c r="D454" s="51">
        <v>94.0</v>
      </c>
      <c r="E454" s="4"/>
      <c r="F454" s="5"/>
      <c r="H454" s="2"/>
      <c r="I454" s="2"/>
      <c r="J454" s="2"/>
      <c r="K454" s="2"/>
      <c r="L454" s="2"/>
      <c r="M454" s="2"/>
      <c r="N454" s="2"/>
    </row>
    <row r="455" ht="15.75" hidden="1" customHeight="1">
      <c r="A455" s="60" t="s">
        <v>3533</v>
      </c>
      <c r="B455" s="164" t="s">
        <v>3534</v>
      </c>
      <c r="C455" s="60" t="s">
        <v>3535</v>
      </c>
      <c r="D455" s="51">
        <v>92.0</v>
      </c>
      <c r="E455" s="4"/>
      <c r="F455" s="5"/>
      <c r="H455" s="2"/>
      <c r="I455" s="2"/>
      <c r="J455" s="2"/>
      <c r="K455" s="2"/>
      <c r="L455" s="2"/>
      <c r="M455" s="2"/>
      <c r="N455" s="2"/>
    </row>
    <row r="456" ht="15.75" hidden="1" customHeight="1">
      <c r="A456" s="60" t="s">
        <v>3536</v>
      </c>
      <c r="B456" s="164" t="s">
        <v>3537</v>
      </c>
      <c r="C456" s="60" t="s">
        <v>3538</v>
      </c>
      <c r="D456" s="51"/>
      <c r="E456" s="4"/>
      <c r="F456" s="5"/>
      <c r="H456" s="2"/>
      <c r="I456" s="2"/>
      <c r="J456" s="2"/>
      <c r="K456" s="2"/>
      <c r="L456" s="2"/>
      <c r="M456" s="2"/>
      <c r="N456" s="2"/>
    </row>
    <row r="457" ht="15.75" hidden="1" customHeight="1">
      <c r="A457" s="60" t="s">
        <v>3539</v>
      </c>
      <c r="B457" s="164" t="s">
        <v>3540</v>
      </c>
      <c r="C457" s="60" t="s">
        <v>3541</v>
      </c>
      <c r="D457" s="51">
        <v>90.0</v>
      </c>
      <c r="E457" s="4"/>
      <c r="F457" s="5"/>
      <c r="H457" s="2"/>
      <c r="I457" s="2"/>
      <c r="J457" s="2"/>
      <c r="K457" s="2"/>
      <c r="L457" s="2"/>
      <c r="M457" s="2"/>
      <c r="N457" s="2"/>
    </row>
    <row r="458" ht="15.75" hidden="1" customHeight="1">
      <c r="A458" s="60" t="s">
        <v>3542</v>
      </c>
      <c r="B458" s="164" t="s">
        <v>3543</v>
      </c>
      <c r="C458" s="60" t="s">
        <v>3544</v>
      </c>
      <c r="D458" s="51">
        <v>93.0</v>
      </c>
      <c r="E458" s="4"/>
      <c r="F458" s="5"/>
      <c r="H458" s="2"/>
      <c r="I458" s="2"/>
      <c r="J458" s="2"/>
      <c r="K458" s="2"/>
      <c r="L458" s="2"/>
      <c r="M458" s="2"/>
      <c r="N458" s="2"/>
    </row>
    <row r="459" ht="15.75" hidden="1" customHeight="1">
      <c r="A459" s="60" t="s">
        <v>3545</v>
      </c>
      <c r="B459" s="164" t="s">
        <v>3546</v>
      </c>
      <c r="C459" s="60" t="s">
        <v>3547</v>
      </c>
      <c r="D459" s="51">
        <v>92.0</v>
      </c>
      <c r="E459" s="4"/>
      <c r="F459" s="5"/>
      <c r="H459" s="2"/>
      <c r="I459" s="2"/>
      <c r="J459" s="2"/>
      <c r="K459" s="2"/>
      <c r="L459" s="2"/>
      <c r="M459" s="2"/>
      <c r="N459" s="2"/>
    </row>
    <row r="460" ht="15.75" hidden="1" customHeight="1">
      <c r="A460" s="60" t="s">
        <v>3548</v>
      </c>
      <c r="B460" s="164" t="s">
        <v>3549</v>
      </c>
      <c r="C460" s="60" t="s">
        <v>3550</v>
      </c>
      <c r="D460" s="51">
        <v>95.0</v>
      </c>
      <c r="E460" s="4"/>
      <c r="F460" s="5"/>
      <c r="H460" s="2"/>
      <c r="I460" s="2"/>
      <c r="J460" s="2"/>
      <c r="K460" s="2"/>
      <c r="L460" s="2"/>
      <c r="M460" s="2"/>
      <c r="N460" s="2"/>
    </row>
    <row r="461" ht="15.75" hidden="1" customHeight="1">
      <c r="A461" s="60" t="s">
        <v>3551</v>
      </c>
      <c r="B461" s="164" t="s">
        <v>3552</v>
      </c>
      <c r="C461" s="60" t="s">
        <v>3553</v>
      </c>
      <c r="D461" s="51">
        <v>92.0</v>
      </c>
      <c r="E461" s="4"/>
      <c r="F461" s="5"/>
      <c r="H461" s="2"/>
      <c r="I461" s="2"/>
      <c r="J461" s="2"/>
      <c r="K461" s="2"/>
      <c r="L461" s="2"/>
      <c r="M461" s="2"/>
      <c r="N461" s="2"/>
    </row>
    <row r="462" ht="15.75" hidden="1" customHeight="1">
      <c r="A462" s="60" t="s">
        <v>3554</v>
      </c>
      <c r="B462" s="164" t="s">
        <v>3555</v>
      </c>
      <c r="C462" s="60" t="s">
        <v>3556</v>
      </c>
      <c r="D462" s="51">
        <v>95.0</v>
      </c>
      <c r="E462" s="4"/>
      <c r="F462" s="5"/>
      <c r="H462" s="2"/>
      <c r="I462" s="2"/>
      <c r="J462" s="2"/>
      <c r="K462" s="2"/>
      <c r="L462" s="2"/>
      <c r="M462" s="2"/>
      <c r="N462" s="2"/>
    </row>
    <row r="463" ht="15.75" hidden="1" customHeight="1">
      <c r="A463" s="60" t="s">
        <v>3557</v>
      </c>
      <c r="B463" s="164" t="s">
        <v>3558</v>
      </c>
      <c r="C463" s="60" t="s">
        <v>3559</v>
      </c>
      <c r="D463" s="51">
        <v>92.0</v>
      </c>
      <c r="E463" s="4"/>
      <c r="F463" s="5"/>
      <c r="H463" s="2"/>
      <c r="I463" s="2"/>
      <c r="J463" s="2"/>
      <c r="K463" s="2"/>
      <c r="L463" s="2"/>
      <c r="M463" s="2"/>
      <c r="N463" s="2"/>
    </row>
    <row r="464" ht="15.75" hidden="1" customHeight="1">
      <c r="A464" s="60" t="s">
        <v>3560</v>
      </c>
      <c r="B464" s="164" t="s">
        <v>3561</v>
      </c>
      <c r="C464" s="60" t="s">
        <v>3562</v>
      </c>
      <c r="D464" s="51">
        <v>95.0</v>
      </c>
      <c r="E464" s="4"/>
      <c r="F464" s="5"/>
      <c r="H464" s="2"/>
      <c r="I464" s="2"/>
      <c r="J464" s="2"/>
      <c r="K464" s="2"/>
      <c r="L464" s="2"/>
      <c r="M464" s="2"/>
      <c r="N464" s="2"/>
    </row>
    <row r="465" ht="15.75" hidden="1" customHeight="1">
      <c r="A465" s="60" t="s">
        <v>3563</v>
      </c>
      <c r="B465" s="164" t="s">
        <v>3564</v>
      </c>
      <c r="C465" s="60" t="s">
        <v>3565</v>
      </c>
      <c r="D465" s="51"/>
      <c r="E465" s="4"/>
      <c r="F465" s="5"/>
      <c r="H465" s="2"/>
      <c r="I465" s="2"/>
      <c r="J465" s="2"/>
      <c r="K465" s="2"/>
      <c r="L465" s="2"/>
      <c r="M465" s="2"/>
      <c r="N465" s="2"/>
    </row>
    <row r="466" ht="15.75" hidden="1" customHeight="1">
      <c r="A466" s="60" t="s">
        <v>3566</v>
      </c>
      <c r="B466" s="164" t="s">
        <v>3567</v>
      </c>
      <c r="C466" s="60" t="s">
        <v>3568</v>
      </c>
      <c r="D466" s="51">
        <v>92.0</v>
      </c>
      <c r="E466" s="4"/>
      <c r="F466" s="5"/>
      <c r="H466" s="2"/>
      <c r="I466" s="2"/>
      <c r="J466" s="2"/>
      <c r="K466" s="2"/>
      <c r="L466" s="2"/>
      <c r="M466" s="2"/>
      <c r="N466" s="2"/>
    </row>
    <row r="467" ht="15.75" hidden="1" customHeight="1">
      <c r="A467" s="60" t="s">
        <v>3569</v>
      </c>
      <c r="B467" s="164" t="s">
        <v>3570</v>
      </c>
      <c r="C467" s="60" t="s">
        <v>3571</v>
      </c>
      <c r="D467" s="51">
        <v>89.0</v>
      </c>
      <c r="E467" s="4"/>
      <c r="F467" s="5"/>
      <c r="H467" s="2"/>
      <c r="I467" s="2"/>
      <c r="J467" s="2"/>
      <c r="K467" s="2"/>
      <c r="L467" s="2"/>
      <c r="M467" s="2"/>
      <c r="N467" s="2"/>
    </row>
    <row r="468" ht="15.75" hidden="1" customHeight="1">
      <c r="A468" s="60" t="s">
        <v>3572</v>
      </c>
      <c r="B468" s="164" t="s">
        <v>3573</v>
      </c>
      <c r="C468" s="60" t="s">
        <v>3574</v>
      </c>
      <c r="D468" s="51">
        <v>90.0</v>
      </c>
      <c r="E468" s="4"/>
      <c r="F468" s="5"/>
      <c r="H468" s="2"/>
      <c r="I468" s="2"/>
      <c r="J468" s="2"/>
      <c r="K468" s="2"/>
      <c r="L468" s="2"/>
      <c r="M468" s="2"/>
      <c r="N468" s="2"/>
    </row>
    <row r="469" ht="15.75" hidden="1" customHeight="1">
      <c r="A469" s="60" t="s">
        <v>3575</v>
      </c>
      <c r="B469" s="164" t="s">
        <v>3576</v>
      </c>
      <c r="C469" s="60" t="s">
        <v>3577</v>
      </c>
      <c r="D469" s="51">
        <v>90.0</v>
      </c>
      <c r="E469" s="4"/>
      <c r="F469" s="5"/>
      <c r="H469" s="2"/>
      <c r="I469" s="2"/>
      <c r="J469" s="2"/>
      <c r="K469" s="2"/>
      <c r="L469" s="2"/>
      <c r="M469" s="2"/>
      <c r="N469" s="2"/>
    </row>
    <row r="470" ht="15.75" hidden="1" customHeight="1">
      <c r="A470" s="60" t="s">
        <v>3578</v>
      </c>
      <c r="B470" s="164" t="s">
        <v>3579</v>
      </c>
      <c r="C470" s="60" t="s">
        <v>3580</v>
      </c>
      <c r="D470" s="51">
        <v>93.0</v>
      </c>
      <c r="E470" s="4"/>
      <c r="F470" s="5"/>
      <c r="H470" s="2"/>
      <c r="I470" s="2"/>
      <c r="J470" s="2"/>
      <c r="K470" s="2"/>
      <c r="L470" s="2"/>
      <c r="M470" s="2"/>
      <c r="N470" s="2"/>
    </row>
    <row r="471" ht="15.75" hidden="1" customHeight="1">
      <c r="A471" s="60" t="s">
        <v>3581</v>
      </c>
      <c r="B471" s="164" t="s">
        <v>3582</v>
      </c>
      <c r="C471" s="60" t="s">
        <v>3583</v>
      </c>
      <c r="D471" s="51"/>
      <c r="E471" s="4"/>
      <c r="F471" s="5"/>
      <c r="H471" s="2"/>
      <c r="I471" s="2"/>
      <c r="J471" s="2"/>
      <c r="K471" s="2"/>
      <c r="L471" s="2"/>
      <c r="M471" s="2"/>
      <c r="N471" s="2"/>
    </row>
    <row r="472" ht="15.75" hidden="1" customHeight="1">
      <c r="A472" s="60" t="s">
        <v>3584</v>
      </c>
      <c r="B472" s="164" t="s">
        <v>3585</v>
      </c>
      <c r="C472" s="60" t="s">
        <v>3586</v>
      </c>
      <c r="D472" s="51">
        <v>90.0</v>
      </c>
      <c r="E472" s="4"/>
      <c r="F472" s="5"/>
      <c r="H472" s="2"/>
      <c r="I472" s="2"/>
      <c r="J472" s="2"/>
      <c r="K472" s="2"/>
      <c r="L472" s="2"/>
      <c r="M472" s="2"/>
      <c r="N472" s="2"/>
    </row>
    <row r="473" ht="15.75" hidden="1" customHeight="1">
      <c r="A473" s="60" t="s">
        <v>3587</v>
      </c>
      <c r="B473" s="164" t="s">
        <v>3588</v>
      </c>
      <c r="C473" s="60" t="s">
        <v>2905</v>
      </c>
      <c r="D473" s="51">
        <v>94.0</v>
      </c>
      <c r="E473" s="4"/>
      <c r="F473" s="5"/>
      <c r="H473" s="2"/>
      <c r="I473" s="2"/>
      <c r="J473" s="2"/>
      <c r="K473" s="2"/>
      <c r="L473" s="2"/>
      <c r="M473" s="2"/>
      <c r="N473" s="2"/>
    </row>
    <row r="474" ht="15.75" hidden="1" customHeight="1">
      <c r="A474" s="60" t="s">
        <v>3589</v>
      </c>
      <c r="B474" s="164" t="s">
        <v>3590</v>
      </c>
      <c r="C474" s="60" t="s">
        <v>3591</v>
      </c>
      <c r="D474" s="51"/>
      <c r="E474" s="4"/>
      <c r="F474" s="5"/>
      <c r="H474" s="2"/>
      <c r="I474" s="2"/>
      <c r="J474" s="2"/>
      <c r="K474" s="2"/>
      <c r="L474" s="2"/>
      <c r="M474" s="2"/>
      <c r="N474" s="2"/>
    </row>
    <row r="475" ht="15.75" hidden="1" customHeight="1">
      <c r="A475" s="60" t="s">
        <v>3592</v>
      </c>
      <c r="B475" s="164" t="s">
        <v>3593</v>
      </c>
      <c r="C475" s="60" t="s">
        <v>3594</v>
      </c>
      <c r="D475" s="51"/>
      <c r="E475" s="4"/>
      <c r="F475" s="5"/>
      <c r="H475" s="2"/>
      <c r="I475" s="2"/>
      <c r="J475" s="2"/>
      <c r="K475" s="2"/>
      <c r="L475" s="2"/>
      <c r="M475" s="2"/>
      <c r="N475" s="2"/>
    </row>
    <row r="476" ht="15.75" hidden="1" customHeight="1">
      <c r="A476" s="60" t="s">
        <v>3595</v>
      </c>
      <c r="B476" s="164" t="s">
        <v>3596</v>
      </c>
      <c r="C476" s="60" t="s">
        <v>3597</v>
      </c>
      <c r="D476" s="51">
        <v>90.0</v>
      </c>
      <c r="E476" s="4"/>
      <c r="F476" s="5"/>
      <c r="H476" s="2"/>
      <c r="I476" s="2"/>
      <c r="J476" s="2"/>
      <c r="K476" s="2"/>
      <c r="L476" s="2"/>
      <c r="M476" s="2"/>
      <c r="N476" s="2"/>
    </row>
    <row r="477" ht="15.75" hidden="1" customHeight="1">
      <c r="A477" s="60" t="s">
        <v>3598</v>
      </c>
      <c r="B477" s="164" t="s">
        <v>3599</v>
      </c>
      <c r="C477" s="60" t="s">
        <v>3600</v>
      </c>
      <c r="D477" s="51">
        <v>83.0</v>
      </c>
      <c r="E477" s="4"/>
      <c r="F477" s="5"/>
      <c r="H477" s="2"/>
      <c r="I477" s="2"/>
      <c r="J477" s="2"/>
      <c r="K477" s="2"/>
      <c r="L477" s="2"/>
      <c r="M477" s="2"/>
      <c r="N477" s="2"/>
    </row>
    <row r="478" ht="15.75" hidden="1" customHeight="1">
      <c r="A478" s="60" t="s">
        <v>3601</v>
      </c>
      <c r="B478" s="164" t="s">
        <v>3602</v>
      </c>
      <c r="C478" s="60" t="s">
        <v>3603</v>
      </c>
      <c r="D478" s="51"/>
      <c r="E478" s="4"/>
      <c r="F478" s="5"/>
      <c r="H478" s="2"/>
      <c r="I478" s="2"/>
      <c r="J478" s="2"/>
      <c r="K478" s="2"/>
      <c r="L478" s="2"/>
      <c r="M478" s="2"/>
      <c r="N478" s="2"/>
    </row>
    <row r="479" ht="15.75" hidden="1" customHeight="1">
      <c r="A479" s="60" t="s">
        <v>3604</v>
      </c>
      <c r="B479" s="164" t="s">
        <v>3605</v>
      </c>
      <c r="C479" s="60" t="s">
        <v>3606</v>
      </c>
      <c r="D479" s="51">
        <v>93.0</v>
      </c>
      <c r="E479" s="4"/>
      <c r="F479" s="5"/>
      <c r="H479" s="2"/>
      <c r="I479" s="2"/>
      <c r="J479" s="2"/>
      <c r="K479" s="2"/>
      <c r="L479" s="2"/>
      <c r="M479" s="2"/>
      <c r="N479" s="2"/>
    </row>
    <row r="480" ht="15.75" hidden="1" customHeight="1">
      <c r="A480" s="60" t="s">
        <v>3607</v>
      </c>
      <c r="B480" s="164" t="s">
        <v>3608</v>
      </c>
      <c r="C480" s="60" t="s">
        <v>3609</v>
      </c>
      <c r="D480" s="51">
        <v>90.0</v>
      </c>
      <c r="E480" s="4"/>
      <c r="F480" s="5"/>
      <c r="H480" s="2"/>
      <c r="I480" s="2"/>
      <c r="J480" s="2"/>
      <c r="K480" s="2"/>
      <c r="L480" s="2"/>
      <c r="M480" s="2"/>
      <c r="N480" s="2"/>
    </row>
    <row r="481" ht="15.75" hidden="1" customHeight="1">
      <c r="A481" s="60" t="s">
        <v>3610</v>
      </c>
      <c r="B481" s="164" t="s">
        <v>3611</v>
      </c>
      <c r="C481" s="60" t="s">
        <v>3612</v>
      </c>
      <c r="D481" s="51">
        <v>91.0</v>
      </c>
      <c r="E481" s="4"/>
      <c r="F481" s="5"/>
      <c r="H481" s="2"/>
      <c r="I481" s="2"/>
      <c r="J481" s="2"/>
      <c r="K481" s="2"/>
      <c r="L481" s="2"/>
      <c r="M481" s="2"/>
      <c r="N481" s="2"/>
    </row>
    <row r="482" ht="15.75" hidden="1" customHeight="1">
      <c r="A482" s="60" t="s">
        <v>3613</v>
      </c>
      <c r="B482" s="164" t="s">
        <v>3614</v>
      </c>
      <c r="C482" s="60" t="s">
        <v>3615</v>
      </c>
      <c r="D482" s="51">
        <v>94.0</v>
      </c>
      <c r="E482" s="4"/>
      <c r="F482" s="5"/>
      <c r="H482" s="2"/>
      <c r="I482" s="2"/>
      <c r="J482" s="2"/>
      <c r="K482" s="2"/>
      <c r="L482" s="2"/>
      <c r="M482" s="2"/>
      <c r="N482" s="2"/>
    </row>
    <row r="483" ht="15.75" hidden="1" customHeight="1">
      <c r="A483" s="60" t="s">
        <v>3616</v>
      </c>
      <c r="B483" s="164" t="s">
        <v>3617</v>
      </c>
      <c r="C483" s="60" t="s">
        <v>3618</v>
      </c>
      <c r="D483" s="51"/>
      <c r="E483" s="4"/>
      <c r="F483" s="5"/>
      <c r="H483" s="2"/>
      <c r="I483" s="2"/>
      <c r="J483" s="2"/>
      <c r="K483" s="2"/>
      <c r="L483" s="2"/>
      <c r="M483" s="2"/>
      <c r="N483" s="2"/>
    </row>
    <row r="484" ht="15.75" hidden="1" customHeight="1">
      <c r="A484" s="60" t="s">
        <v>3619</v>
      </c>
      <c r="B484" s="164" t="s">
        <v>3620</v>
      </c>
      <c r="C484" s="60" t="s">
        <v>3621</v>
      </c>
      <c r="D484" s="51">
        <v>91.0</v>
      </c>
      <c r="E484" s="4"/>
      <c r="F484" s="5"/>
      <c r="H484" s="2"/>
      <c r="I484" s="2"/>
      <c r="J484" s="2"/>
      <c r="K484" s="2"/>
      <c r="L484" s="2"/>
      <c r="M484" s="2"/>
      <c r="N484" s="2"/>
    </row>
    <row r="485" ht="15.75" hidden="1" customHeight="1">
      <c r="A485" s="60" t="s">
        <v>3622</v>
      </c>
      <c r="B485" s="164" t="s">
        <v>3623</v>
      </c>
      <c r="C485" s="60" t="s">
        <v>3624</v>
      </c>
      <c r="D485" s="51">
        <v>88.0</v>
      </c>
      <c r="E485" s="4"/>
      <c r="F485" s="5"/>
      <c r="H485" s="2"/>
      <c r="I485" s="2"/>
      <c r="J485" s="2"/>
      <c r="K485" s="2"/>
      <c r="L485" s="2"/>
      <c r="M485" s="2"/>
      <c r="N485" s="2"/>
    </row>
    <row r="486" ht="15.75" hidden="1" customHeight="1">
      <c r="A486" s="60" t="s">
        <v>3625</v>
      </c>
      <c r="B486" s="164" t="s">
        <v>3626</v>
      </c>
      <c r="C486" s="60" t="s">
        <v>3627</v>
      </c>
      <c r="D486" s="51">
        <v>89.0</v>
      </c>
      <c r="E486" s="4"/>
      <c r="F486" s="5"/>
      <c r="H486" s="2"/>
      <c r="I486" s="2"/>
      <c r="J486" s="2"/>
      <c r="K486" s="2"/>
      <c r="L486" s="2"/>
      <c r="M486" s="2"/>
      <c r="N486" s="2"/>
    </row>
    <row r="487" ht="15.75" hidden="1" customHeight="1">
      <c r="A487" s="60" t="s">
        <v>3628</v>
      </c>
      <c r="B487" s="164" t="s">
        <v>3629</v>
      </c>
      <c r="C487" s="60" t="s">
        <v>3630</v>
      </c>
      <c r="D487" s="51">
        <v>90.0</v>
      </c>
      <c r="E487" s="4"/>
      <c r="F487" s="5"/>
      <c r="H487" s="2"/>
      <c r="I487" s="2"/>
      <c r="J487" s="2"/>
      <c r="K487" s="2"/>
      <c r="L487" s="2"/>
      <c r="M487" s="2"/>
      <c r="N487" s="2"/>
    </row>
    <row r="488" ht="15.75" hidden="1" customHeight="1">
      <c r="A488" s="60" t="s">
        <v>3631</v>
      </c>
      <c r="B488" s="164" t="s">
        <v>3632</v>
      </c>
      <c r="C488" s="60" t="s">
        <v>3633</v>
      </c>
      <c r="D488" s="51" t="s">
        <v>3634</v>
      </c>
      <c r="E488" s="4"/>
      <c r="F488" s="5"/>
      <c r="H488" s="2"/>
      <c r="I488" s="2"/>
      <c r="J488" s="2"/>
      <c r="K488" s="2"/>
      <c r="L488" s="2"/>
      <c r="M488" s="2"/>
      <c r="N488" s="2"/>
    </row>
    <row r="489" ht="15.75" hidden="1" customHeight="1">
      <c r="A489" s="60" t="s">
        <v>3635</v>
      </c>
      <c r="B489" s="164" t="s">
        <v>3636</v>
      </c>
      <c r="C489" s="60" t="s">
        <v>3637</v>
      </c>
      <c r="D489" s="51">
        <v>96.0</v>
      </c>
      <c r="E489" s="4"/>
      <c r="F489" s="5"/>
      <c r="H489" s="2"/>
      <c r="I489" s="2"/>
      <c r="J489" s="2"/>
      <c r="K489" s="2"/>
      <c r="L489" s="2"/>
      <c r="M489" s="2"/>
      <c r="N489" s="2"/>
    </row>
    <row r="490" ht="15.75" hidden="1" customHeight="1">
      <c r="A490" s="60" t="s">
        <v>3638</v>
      </c>
      <c r="B490" s="164" t="s">
        <v>3639</v>
      </c>
      <c r="C490" s="60" t="s">
        <v>3640</v>
      </c>
      <c r="D490" s="51">
        <v>90.0</v>
      </c>
      <c r="E490" s="4"/>
      <c r="F490" s="5"/>
      <c r="H490" s="2"/>
      <c r="I490" s="2"/>
      <c r="J490" s="2"/>
      <c r="K490" s="2"/>
      <c r="L490" s="2"/>
      <c r="M490" s="2"/>
      <c r="N490" s="2"/>
    </row>
    <row r="491" ht="15.75" hidden="1" customHeight="1">
      <c r="A491" s="60" t="s">
        <v>3641</v>
      </c>
      <c r="B491" s="164" t="s">
        <v>3642</v>
      </c>
      <c r="C491" s="60" t="s">
        <v>3643</v>
      </c>
      <c r="D491" s="51">
        <v>88.0</v>
      </c>
      <c r="E491" s="4"/>
      <c r="F491" s="5"/>
      <c r="H491" s="2"/>
      <c r="I491" s="2"/>
      <c r="J491" s="2"/>
      <c r="K491" s="2"/>
      <c r="L491" s="2"/>
      <c r="M491" s="2"/>
      <c r="N491" s="2"/>
    </row>
    <row r="492" ht="15.75" hidden="1" customHeight="1">
      <c r="A492" s="60" t="s">
        <v>3644</v>
      </c>
      <c r="B492" s="164" t="s">
        <v>3645</v>
      </c>
      <c r="C492" s="60" t="s">
        <v>3646</v>
      </c>
      <c r="D492" s="51">
        <v>91.0</v>
      </c>
      <c r="E492" s="4"/>
      <c r="F492" s="5"/>
      <c r="H492" s="2"/>
      <c r="I492" s="2"/>
      <c r="J492" s="2"/>
      <c r="K492" s="2"/>
      <c r="L492" s="2"/>
      <c r="M492" s="2"/>
      <c r="N492" s="2"/>
    </row>
    <row r="493" ht="15.75" hidden="1" customHeight="1">
      <c r="A493" s="60" t="s">
        <v>3647</v>
      </c>
      <c r="B493" s="164" t="s">
        <v>3648</v>
      </c>
      <c r="C493" s="60" t="s">
        <v>3649</v>
      </c>
      <c r="D493" s="51">
        <v>93.0</v>
      </c>
      <c r="E493" s="4"/>
      <c r="F493" s="5"/>
      <c r="H493" s="2"/>
      <c r="I493" s="2"/>
      <c r="J493" s="2"/>
      <c r="K493" s="2"/>
      <c r="L493" s="2"/>
      <c r="M493" s="2"/>
      <c r="N493" s="2"/>
    </row>
    <row r="494" ht="15.75" hidden="1" customHeight="1">
      <c r="A494" s="60" t="s">
        <v>3650</v>
      </c>
      <c r="B494" s="164" t="s">
        <v>3651</v>
      </c>
      <c r="C494" s="60" t="s">
        <v>3652</v>
      </c>
      <c r="D494" s="51">
        <v>88.0</v>
      </c>
      <c r="E494" s="4"/>
      <c r="F494" s="5"/>
      <c r="H494" s="2"/>
      <c r="I494" s="2"/>
      <c r="J494" s="2"/>
      <c r="K494" s="2"/>
      <c r="L494" s="2"/>
      <c r="M494" s="2"/>
      <c r="N494" s="2"/>
    </row>
    <row r="495" ht="15.75" hidden="1" customHeight="1">
      <c r="A495" s="60" t="s">
        <v>3653</v>
      </c>
      <c r="B495" s="164" t="s">
        <v>3654</v>
      </c>
      <c r="C495" s="60" t="s">
        <v>3655</v>
      </c>
      <c r="D495" s="51">
        <v>90.0</v>
      </c>
      <c r="E495" s="4"/>
      <c r="F495" s="5"/>
      <c r="H495" s="2"/>
      <c r="I495" s="2"/>
      <c r="J495" s="2"/>
      <c r="K495" s="2"/>
      <c r="L495" s="2"/>
      <c r="M495" s="2"/>
      <c r="N495" s="2"/>
    </row>
    <row r="496" ht="15.75" hidden="1" customHeight="1">
      <c r="A496" s="60" t="s">
        <v>3656</v>
      </c>
      <c r="B496" s="164" t="s">
        <v>3657</v>
      </c>
      <c r="C496" s="60" t="s">
        <v>3658</v>
      </c>
      <c r="D496" s="51">
        <v>82.0</v>
      </c>
      <c r="E496" s="4"/>
      <c r="F496" s="5"/>
      <c r="H496" s="2"/>
      <c r="I496" s="2"/>
      <c r="J496" s="2"/>
      <c r="K496" s="2"/>
      <c r="L496" s="2"/>
      <c r="M496" s="2"/>
      <c r="N496" s="2"/>
    </row>
    <row r="497" ht="15.75" hidden="1" customHeight="1">
      <c r="A497" s="60" t="s">
        <v>3659</v>
      </c>
      <c r="B497" s="164" t="s">
        <v>3660</v>
      </c>
      <c r="C497" s="60" t="s">
        <v>3661</v>
      </c>
      <c r="D497" s="51">
        <v>88.0</v>
      </c>
      <c r="E497" s="4"/>
      <c r="F497" s="5"/>
      <c r="H497" s="2"/>
      <c r="I497" s="2"/>
      <c r="J497" s="2"/>
      <c r="K497" s="2"/>
      <c r="L497" s="2"/>
      <c r="M497" s="2"/>
      <c r="N497" s="2"/>
    </row>
    <row r="498" ht="15.75" hidden="1" customHeight="1">
      <c r="A498" s="60" t="s">
        <v>3662</v>
      </c>
      <c r="B498" s="164" t="s">
        <v>3663</v>
      </c>
      <c r="C498" s="60" t="s">
        <v>3664</v>
      </c>
      <c r="D498" s="51"/>
      <c r="E498" s="4"/>
      <c r="F498" s="5"/>
      <c r="H498" s="2"/>
      <c r="I498" s="2"/>
      <c r="J498" s="2"/>
      <c r="K498" s="2"/>
      <c r="L498" s="2"/>
      <c r="M498" s="2"/>
      <c r="N498" s="2"/>
    </row>
    <row r="499" ht="15.75" hidden="1" customHeight="1">
      <c r="A499" s="60" t="s">
        <v>3665</v>
      </c>
      <c r="B499" s="164" t="s">
        <v>3666</v>
      </c>
      <c r="C499" s="60" t="s">
        <v>3667</v>
      </c>
      <c r="D499" s="51"/>
      <c r="E499" s="4"/>
      <c r="F499" s="5"/>
      <c r="H499" s="2"/>
      <c r="I499" s="2"/>
      <c r="J499" s="2"/>
      <c r="K499" s="2"/>
      <c r="L499" s="2"/>
      <c r="M499" s="2"/>
      <c r="N499" s="2"/>
    </row>
    <row r="500" ht="15.75" hidden="1" customHeight="1">
      <c r="A500" s="60" t="s">
        <v>3668</v>
      </c>
      <c r="B500" s="164" t="s">
        <v>3669</v>
      </c>
      <c r="C500" s="60" t="s">
        <v>3670</v>
      </c>
      <c r="D500" s="51">
        <v>87.0</v>
      </c>
      <c r="E500" s="4"/>
      <c r="F500" s="5"/>
      <c r="H500" s="2"/>
      <c r="I500" s="2"/>
      <c r="J500" s="2"/>
      <c r="K500" s="2"/>
      <c r="L500" s="2"/>
      <c r="M500" s="2"/>
      <c r="N500" s="2"/>
    </row>
    <row r="501" ht="15.75" hidden="1" customHeight="1">
      <c r="A501" s="60" t="s">
        <v>3671</v>
      </c>
      <c r="B501" s="164" t="s">
        <v>3672</v>
      </c>
      <c r="C501" s="60" t="s">
        <v>3673</v>
      </c>
      <c r="D501" s="51">
        <v>86.0</v>
      </c>
      <c r="E501" s="4"/>
      <c r="F501" s="5"/>
      <c r="H501" s="2"/>
      <c r="I501" s="2"/>
      <c r="J501" s="2"/>
      <c r="K501" s="2"/>
      <c r="L501" s="2"/>
      <c r="M501" s="2"/>
      <c r="N501" s="2"/>
    </row>
    <row r="502" ht="15.75" hidden="1" customHeight="1">
      <c r="A502" s="60" t="s">
        <v>3674</v>
      </c>
      <c r="B502" s="164" t="s">
        <v>3675</v>
      </c>
      <c r="C502" s="60" t="s">
        <v>3676</v>
      </c>
      <c r="D502" s="51">
        <v>90.0</v>
      </c>
      <c r="E502" s="4"/>
      <c r="F502" s="5"/>
      <c r="H502" s="2"/>
      <c r="I502" s="2"/>
      <c r="J502" s="2"/>
      <c r="K502" s="2"/>
      <c r="L502" s="2"/>
      <c r="M502" s="2"/>
      <c r="N502" s="2"/>
    </row>
    <row r="503" ht="15.75" hidden="1" customHeight="1">
      <c r="A503" s="60" t="s">
        <v>3677</v>
      </c>
      <c r="B503" s="164" t="s">
        <v>3678</v>
      </c>
      <c r="C503" s="60" t="s">
        <v>3679</v>
      </c>
      <c r="D503" s="51">
        <v>86.0</v>
      </c>
      <c r="E503" s="4"/>
      <c r="F503" s="5"/>
      <c r="H503" s="2"/>
      <c r="I503" s="2"/>
      <c r="J503" s="2"/>
      <c r="K503" s="2"/>
      <c r="L503" s="2"/>
      <c r="M503" s="2"/>
      <c r="N503" s="2"/>
    </row>
    <row r="504" ht="15.75" hidden="1" customHeight="1">
      <c r="A504" s="60" t="s">
        <v>3680</v>
      </c>
      <c r="B504" s="164" t="s">
        <v>3681</v>
      </c>
      <c r="C504" s="60" t="s">
        <v>3682</v>
      </c>
      <c r="D504" s="51">
        <v>88.0</v>
      </c>
      <c r="E504" s="4"/>
      <c r="F504" s="5"/>
      <c r="H504" s="2"/>
      <c r="I504" s="2"/>
      <c r="J504" s="2"/>
      <c r="K504" s="2"/>
      <c r="L504" s="2"/>
      <c r="M504" s="2"/>
      <c r="N504" s="2"/>
    </row>
    <row r="505" ht="15.75" hidden="1" customHeight="1">
      <c r="A505" s="60" t="s">
        <v>3683</v>
      </c>
      <c r="B505" s="164" t="s">
        <v>3684</v>
      </c>
      <c r="C505" s="60" t="s">
        <v>3685</v>
      </c>
      <c r="D505" s="51">
        <v>89.0</v>
      </c>
      <c r="E505" s="4"/>
      <c r="F505" s="5"/>
      <c r="H505" s="2"/>
      <c r="I505" s="2"/>
      <c r="J505" s="2"/>
      <c r="K505" s="2"/>
      <c r="L505" s="2"/>
      <c r="M505" s="2"/>
      <c r="N505" s="2"/>
    </row>
    <row r="506" ht="15.75" hidden="1" customHeight="1">
      <c r="A506" s="60" t="s">
        <v>3118</v>
      </c>
      <c r="B506" s="164" t="s">
        <v>3686</v>
      </c>
      <c r="C506" s="60" t="s">
        <v>3687</v>
      </c>
      <c r="D506" s="51">
        <v>89.0</v>
      </c>
      <c r="E506" s="4"/>
      <c r="F506" s="5"/>
      <c r="G506" s="204"/>
      <c r="H506" s="2"/>
      <c r="I506" s="2"/>
      <c r="J506" s="2"/>
      <c r="K506" s="2"/>
      <c r="L506" s="2"/>
      <c r="M506" s="2"/>
      <c r="N506" s="2"/>
    </row>
    <row r="507" ht="15.75" hidden="1" customHeight="1">
      <c r="A507" s="22" t="s">
        <v>3688</v>
      </c>
      <c r="B507" s="55" t="s">
        <v>3689</v>
      </c>
      <c r="C507" s="27" t="s">
        <v>3690</v>
      </c>
      <c r="D507" s="32" t="s">
        <v>3691</v>
      </c>
      <c r="E507" s="4">
        <v>0.0</v>
      </c>
      <c r="F507" s="5"/>
      <c r="G507" s="25">
        <v>17800.0</v>
      </c>
      <c r="H507" s="2"/>
      <c r="I507" s="2"/>
      <c r="J507" s="2"/>
      <c r="K507" s="2"/>
      <c r="L507" s="2"/>
      <c r="M507" s="2"/>
      <c r="N507" s="2"/>
    </row>
    <row r="508" ht="15.75" hidden="1" customHeight="1">
      <c r="A508" s="22" t="s">
        <v>3692</v>
      </c>
      <c r="B508" s="55" t="s">
        <v>3693</v>
      </c>
      <c r="C508" s="27" t="s">
        <v>3511</v>
      </c>
      <c r="D508" s="32">
        <v>94.0</v>
      </c>
      <c r="E508" s="4">
        <v>0.0</v>
      </c>
      <c r="F508" s="5"/>
      <c r="G508" s="25">
        <v>18800.0</v>
      </c>
      <c r="H508" s="2"/>
      <c r="I508" s="2"/>
      <c r="J508" s="2"/>
      <c r="K508" s="2"/>
      <c r="L508" s="2"/>
      <c r="M508" s="2"/>
      <c r="N508" s="2"/>
    </row>
    <row r="509" ht="15.75" hidden="1" customHeight="1">
      <c r="A509" s="38" t="s">
        <v>3694</v>
      </c>
      <c r="B509" s="139" t="s">
        <v>3695</v>
      </c>
      <c r="C509" s="27" t="s">
        <v>3696</v>
      </c>
      <c r="D509" s="3" t="s">
        <v>3697</v>
      </c>
      <c r="E509" s="4">
        <v>0.0</v>
      </c>
      <c r="F509" s="5"/>
      <c r="G509" s="25">
        <v>14800.0</v>
      </c>
      <c r="H509" s="2"/>
      <c r="I509" s="2"/>
      <c r="J509" s="2"/>
      <c r="K509" s="2"/>
      <c r="L509" s="2"/>
      <c r="M509" s="2"/>
      <c r="N509" s="2"/>
    </row>
    <row r="510" ht="15.75" hidden="1" customHeight="1">
      <c r="A510" s="22" t="s">
        <v>3698</v>
      </c>
      <c r="B510" s="2" t="s">
        <v>3485</v>
      </c>
      <c r="C510" s="22" t="s">
        <v>3699</v>
      </c>
      <c r="D510" s="32">
        <v>93.0</v>
      </c>
      <c r="E510" s="4">
        <v>0.0</v>
      </c>
      <c r="F510" s="5"/>
      <c r="G510" s="25">
        <v>20000.0</v>
      </c>
      <c r="H510" s="2"/>
      <c r="I510" s="2"/>
      <c r="J510" s="2"/>
      <c r="K510" s="2"/>
      <c r="L510" s="2"/>
      <c r="M510" s="2"/>
      <c r="N510" s="2"/>
    </row>
    <row r="511" ht="15.75" hidden="1" customHeight="1">
      <c r="A511" s="22" t="s">
        <v>3700</v>
      </c>
      <c r="B511" s="2" t="s">
        <v>3485</v>
      </c>
      <c r="C511" s="22" t="s">
        <v>3699</v>
      </c>
      <c r="D511" s="32">
        <v>93.0</v>
      </c>
      <c r="E511" s="4">
        <v>0.0</v>
      </c>
      <c r="F511" s="5"/>
      <c r="G511" s="25">
        <v>17700.0</v>
      </c>
      <c r="H511" s="2"/>
      <c r="I511" s="2"/>
      <c r="J511" s="2"/>
      <c r="K511" s="2"/>
      <c r="L511" s="2"/>
      <c r="M511" s="2"/>
      <c r="N511" s="2"/>
    </row>
    <row r="512" ht="15.75" hidden="1" customHeight="1">
      <c r="A512" s="22" t="s">
        <v>3701</v>
      </c>
      <c r="B512" s="55" t="s">
        <v>3489</v>
      </c>
      <c r="C512" s="22" t="s">
        <v>3699</v>
      </c>
      <c r="D512" s="32" t="s">
        <v>3490</v>
      </c>
      <c r="E512" s="4">
        <v>0.0</v>
      </c>
      <c r="F512" s="5"/>
      <c r="G512" s="25">
        <v>27000.0</v>
      </c>
      <c r="H512" s="2"/>
      <c r="I512" s="2"/>
      <c r="J512" s="2"/>
      <c r="K512" s="2"/>
      <c r="L512" s="2"/>
      <c r="M512" s="2"/>
      <c r="N512" s="2"/>
    </row>
    <row r="513" ht="15.75" hidden="1" customHeight="1">
      <c r="A513" s="22" t="s">
        <v>3702</v>
      </c>
      <c r="B513" s="55" t="s">
        <v>3703</v>
      </c>
      <c r="C513" s="22" t="s">
        <v>3699</v>
      </c>
      <c r="D513" s="32" t="s">
        <v>3704</v>
      </c>
      <c r="E513" s="4">
        <v>0.0</v>
      </c>
      <c r="F513" s="5"/>
      <c r="G513" s="25">
        <v>15000.0</v>
      </c>
      <c r="H513" s="2"/>
      <c r="I513" s="2"/>
      <c r="J513" s="2"/>
      <c r="K513" s="2"/>
      <c r="L513" s="2"/>
      <c r="M513" s="2"/>
      <c r="N513" s="2"/>
    </row>
    <row r="514" ht="15.75" hidden="1" customHeight="1">
      <c r="A514" s="22" t="s">
        <v>3705</v>
      </c>
      <c r="B514" s="55" t="s">
        <v>3706</v>
      </c>
      <c r="C514" s="27" t="s">
        <v>3707</v>
      </c>
      <c r="D514" s="32" t="s">
        <v>3708</v>
      </c>
      <c r="E514" s="69">
        <v>0.0</v>
      </c>
      <c r="F514" s="29"/>
      <c r="G514" s="25">
        <v>4900.0</v>
      </c>
      <c r="H514" s="2"/>
      <c r="I514" s="2"/>
      <c r="J514" s="2"/>
      <c r="K514" s="2"/>
      <c r="L514" s="2"/>
      <c r="M514" s="2"/>
      <c r="N514" s="2"/>
    </row>
    <row r="515" ht="15.75" hidden="1" customHeight="1">
      <c r="A515" s="22" t="s">
        <v>3709</v>
      </c>
      <c r="B515" s="55" t="s">
        <v>3710</v>
      </c>
      <c r="C515" s="27" t="s">
        <v>3711</v>
      </c>
      <c r="D515" s="32">
        <v>89.0</v>
      </c>
      <c r="E515" s="69">
        <v>0.0</v>
      </c>
      <c r="F515" s="29"/>
      <c r="G515" s="25">
        <v>2700.0</v>
      </c>
      <c r="H515" s="2"/>
      <c r="I515" s="2"/>
      <c r="J515" s="2"/>
      <c r="K515" s="2"/>
      <c r="L515" s="2"/>
      <c r="M515" s="2"/>
      <c r="N515" s="2"/>
    </row>
    <row r="516" ht="15.75" hidden="1" customHeight="1">
      <c r="A516" s="2" t="s">
        <v>3712</v>
      </c>
      <c r="B516" s="2" t="s">
        <v>3713</v>
      </c>
      <c r="C516" s="2" t="s">
        <v>3714</v>
      </c>
      <c r="D516" s="32"/>
      <c r="E516" s="4">
        <v>0.0</v>
      </c>
      <c r="F516" s="5"/>
      <c r="G516" s="25">
        <v>1660.0</v>
      </c>
      <c r="H516" s="2"/>
      <c r="I516" s="2"/>
      <c r="J516" s="2"/>
      <c r="K516" s="2"/>
      <c r="L516" s="2"/>
      <c r="M516" s="2"/>
      <c r="N516" s="2"/>
    </row>
    <row r="517" ht="15.75" hidden="1" customHeight="1">
      <c r="A517" s="2" t="s">
        <v>3715</v>
      </c>
      <c r="B517" s="2" t="s">
        <v>3716</v>
      </c>
      <c r="C517" s="2" t="s">
        <v>3571</v>
      </c>
      <c r="D517" s="32"/>
      <c r="E517" s="4"/>
      <c r="F517" s="5"/>
      <c r="G517" s="25"/>
      <c r="H517" s="2"/>
      <c r="I517" s="2"/>
      <c r="J517" s="2"/>
      <c r="K517" s="2"/>
      <c r="L517" s="2"/>
      <c r="M517" s="2"/>
      <c r="N517" s="2"/>
    </row>
    <row r="518" ht="15.75" hidden="1" customHeight="1">
      <c r="A518" s="22" t="s">
        <v>3717</v>
      </c>
      <c r="B518" s="55" t="s">
        <v>3718</v>
      </c>
      <c r="C518" s="27" t="s">
        <v>3719</v>
      </c>
      <c r="D518" s="32">
        <v>91.0</v>
      </c>
      <c r="E518" s="4">
        <v>0.0</v>
      </c>
      <c r="F518" s="5"/>
      <c r="G518" s="25">
        <v>2800.0</v>
      </c>
      <c r="H518" s="2"/>
      <c r="I518" s="2"/>
      <c r="J518" s="2"/>
      <c r="K518" s="2"/>
      <c r="L518" s="2"/>
      <c r="M518" s="2"/>
      <c r="N518" s="2"/>
    </row>
    <row r="519" ht="15.75" hidden="1" customHeight="1">
      <c r="A519" s="22" t="s">
        <v>3720</v>
      </c>
      <c r="B519" s="55" t="s">
        <v>3721</v>
      </c>
      <c r="C519" s="27" t="s">
        <v>3719</v>
      </c>
      <c r="D519" s="32" t="s">
        <v>3722</v>
      </c>
      <c r="E519" s="4">
        <v>0.0</v>
      </c>
      <c r="F519" s="5"/>
      <c r="G519" s="25">
        <v>2610.0</v>
      </c>
      <c r="H519" s="2"/>
      <c r="I519" s="2"/>
      <c r="J519" s="2"/>
      <c r="K519" s="2"/>
      <c r="L519" s="2"/>
      <c r="M519" s="2"/>
      <c r="N519" s="2"/>
    </row>
    <row r="520" ht="15.75" hidden="1" customHeight="1">
      <c r="A520" s="2" t="s">
        <v>3723</v>
      </c>
      <c r="B520" s="2" t="s">
        <v>3724</v>
      </c>
      <c r="C520" s="27" t="s">
        <v>3009</v>
      </c>
      <c r="D520" s="32"/>
      <c r="E520" s="4"/>
      <c r="F520" s="5"/>
      <c r="G520" s="25"/>
      <c r="H520" s="2"/>
      <c r="I520" s="2"/>
      <c r="J520" s="2"/>
      <c r="K520" s="2"/>
      <c r="L520" s="2"/>
      <c r="M520" s="2"/>
      <c r="N520" s="2"/>
    </row>
    <row r="521" ht="15.75" hidden="1" customHeight="1">
      <c r="A521" s="22" t="s">
        <v>3725</v>
      </c>
      <c r="B521" s="55" t="s">
        <v>3726</v>
      </c>
      <c r="C521" s="27" t="s">
        <v>3679</v>
      </c>
      <c r="D521" s="32"/>
      <c r="E521" s="69"/>
      <c r="F521" s="29"/>
      <c r="G521" s="25"/>
      <c r="H521" s="2"/>
      <c r="I521" s="2"/>
      <c r="J521" s="2"/>
      <c r="K521" s="2"/>
      <c r="L521" s="2"/>
      <c r="M521" s="2"/>
      <c r="N521" s="2"/>
    </row>
    <row r="522" ht="15.75" hidden="1" customHeight="1">
      <c r="A522" s="22" t="s">
        <v>3677</v>
      </c>
      <c r="B522" s="55" t="s">
        <v>3727</v>
      </c>
      <c r="C522" s="27" t="s">
        <v>3679</v>
      </c>
      <c r="D522" s="32"/>
      <c r="E522" s="69"/>
      <c r="F522" s="29"/>
      <c r="G522" s="25"/>
      <c r="H522" s="2"/>
      <c r="I522" s="2"/>
      <c r="J522" s="2"/>
      <c r="K522" s="2"/>
      <c r="L522" s="2"/>
      <c r="M522" s="2"/>
      <c r="N522" s="2"/>
    </row>
    <row r="523" ht="15.75" hidden="1" customHeight="1">
      <c r="A523" s="2" t="s">
        <v>3728</v>
      </c>
      <c r="B523" s="2" t="s">
        <v>3729</v>
      </c>
      <c r="C523" s="2" t="s">
        <v>3730</v>
      </c>
      <c r="D523" s="32"/>
      <c r="E523" s="69">
        <v>0.0</v>
      </c>
      <c r="F523" s="29"/>
      <c r="G523" s="25">
        <v>1575.0</v>
      </c>
      <c r="H523" s="2"/>
      <c r="I523" s="2"/>
      <c r="J523" s="2"/>
      <c r="K523" s="2"/>
      <c r="L523" s="2"/>
      <c r="M523" s="2"/>
      <c r="N523" s="2"/>
    </row>
    <row r="524" ht="15.75" hidden="1" customHeight="1">
      <c r="A524" s="22" t="s">
        <v>3731</v>
      </c>
      <c r="B524" s="55" t="s">
        <v>3732</v>
      </c>
      <c r="C524" s="27" t="s">
        <v>3733</v>
      </c>
      <c r="D524" s="32"/>
      <c r="E524" s="4"/>
      <c r="F524" s="5"/>
      <c r="G524" s="25"/>
      <c r="H524" s="2"/>
      <c r="I524" s="2"/>
      <c r="J524" s="2"/>
      <c r="K524" s="2"/>
      <c r="L524" s="2"/>
      <c r="M524" s="2"/>
      <c r="N524" s="2"/>
    </row>
    <row r="525" ht="15.75" hidden="1" customHeight="1">
      <c r="A525" s="22" t="s">
        <v>3734</v>
      </c>
      <c r="B525" s="55" t="s">
        <v>3735</v>
      </c>
      <c r="C525" s="22" t="s">
        <v>3736</v>
      </c>
      <c r="D525" s="32"/>
      <c r="E525" s="4"/>
      <c r="F525" s="5"/>
      <c r="G525" s="25"/>
      <c r="H525" s="2"/>
      <c r="I525" s="2"/>
      <c r="J525" s="2"/>
      <c r="K525" s="2"/>
      <c r="L525" s="2"/>
      <c r="M525" s="2"/>
      <c r="N525" s="2"/>
    </row>
    <row r="526" ht="15.75" hidden="1" customHeight="1">
      <c r="A526" s="22" t="s">
        <v>3737</v>
      </c>
      <c r="B526" s="55" t="s">
        <v>3738</v>
      </c>
      <c r="C526" s="27" t="s">
        <v>3739</v>
      </c>
      <c r="D526" s="32" t="s">
        <v>3740</v>
      </c>
      <c r="E526" s="4">
        <v>0.0</v>
      </c>
      <c r="F526" s="5"/>
      <c r="G526" s="25">
        <v>1580.0</v>
      </c>
      <c r="H526" s="2"/>
      <c r="I526" s="2"/>
      <c r="J526" s="2"/>
      <c r="K526" s="2"/>
      <c r="L526" s="2"/>
      <c r="M526" s="2"/>
      <c r="N526" s="2"/>
    </row>
    <row r="527" ht="15.75" hidden="1" customHeight="1">
      <c r="A527" s="22" t="s">
        <v>3741</v>
      </c>
      <c r="B527" s="55" t="s">
        <v>3742</v>
      </c>
      <c r="C527" s="27" t="s">
        <v>3743</v>
      </c>
      <c r="D527" s="32" t="s">
        <v>3744</v>
      </c>
      <c r="E527" s="4">
        <v>0.0</v>
      </c>
      <c r="F527" s="5"/>
      <c r="G527" s="25">
        <v>1800.0</v>
      </c>
      <c r="H527" s="2"/>
      <c r="I527" s="2"/>
      <c r="J527" s="2"/>
      <c r="K527" s="2"/>
      <c r="L527" s="2"/>
      <c r="M527" s="2"/>
      <c r="N527" s="2"/>
    </row>
    <row r="528" ht="15.75" hidden="1" customHeight="1">
      <c r="A528" s="2" t="s">
        <v>3745</v>
      </c>
      <c r="B528" s="2" t="s">
        <v>3746</v>
      </c>
      <c r="C528" s="2" t="s">
        <v>3747</v>
      </c>
      <c r="D528" s="32" t="s">
        <v>3748</v>
      </c>
      <c r="E528" s="4">
        <v>0.0</v>
      </c>
      <c r="F528" s="5"/>
      <c r="G528" s="25">
        <v>1300.0</v>
      </c>
      <c r="H528" s="2"/>
      <c r="I528" s="2"/>
      <c r="J528" s="2"/>
      <c r="K528" s="2"/>
      <c r="L528" s="2"/>
      <c r="M528" s="2"/>
      <c r="N528" s="2"/>
    </row>
    <row r="529" ht="15.75" hidden="1" customHeight="1">
      <c r="A529" s="22" t="s">
        <v>3749</v>
      </c>
      <c r="B529" s="2" t="s">
        <v>3750</v>
      </c>
      <c r="C529" s="2" t="s">
        <v>3751</v>
      </c>
      <c r="D529" s="3"/>
      <c r="E529" s="69">
        <v>0.0</v>
      </c>
      <c r="F529" s="29"/>
      <c r="G529" s="25">
        <v>950.0</v>
      </c>
      <c r="H529" s="2"/>
      <c r="I529" s="2"/>
      <c r="J529" s="2"/>
      <c r="K529" s="2"/>
      <c r="L529" s="2"/>
      <c r="M529" s="2"/>
      <c r="N529" s="2"/>
    </row>
    <row r="530" ht="15.75" hidden="1" customHeight="1">
      <c r="A530" s="2" t="s">
        <v>3752</v>
      </c>
      <c r="B530" s="2" t="s">
        <v>3753</v>
      </c>
      <c r="C530" s="2" t="s">
        <v>3754</v>
      </c>
      <c r="D530" s="3"/>
      <c r="E530" s="69">
        <v>0.0</v>
      </c>
      <c r="F530" s="29"/>
      <c r="G530" s="163"/>
      <c r="H530" s="2"/>
      <c r="I530" s="2"/>
      <c r="J530" s="2"/>
      <c r="K530" s="2"/>
      <c r="L530" s="2"/>
      <c r="M530" s="2"/>
      <c r="N530" s="2"/>
    </row>
    <row r="531" ht="15.75" hidden="1" customHeight="1">
      <c r="A531" s="22" t="s">
        <v>3755</v>
      </c>
      <c r="B531" s="55" t="s">
        <v>3756</v>
      </c>
      <c r="C531" s="27" t="s">
        <v>3463</v>
      </c>
      <c r="D531" s="32">
        <v>73.0</v>
      </c>
      <c r="E531" s="69">
        <v>0.0</v>
      </c>
      <c r="F531" s="29"/>
      <c r="G531" s="25">
        <v>3300.0</v>
      </c>
      <c r="H531" s="2"/>
      <c r="I531" s="2"/>
      <c r="J531" s="2"/>
      <c r="K531" s="2"/>
      <c r="L531" s="2"/>
      <c r="M531" s="2"/>
      <c r="N531" s="2"/>
    </row>
    <row r="532" ht="15.75" hidden="1" customHeight="1">
      <c r="A532" s="2" t="s">
        <v>3757</v>
      </c>
      <c r="B532" s="2" t="s">
        <v>3758</v>
      </c>
      <c r="C532" s="33" t="s">
        <v>3759</v>
      </c>
      <c r="D532" s="28"/>
      <c r="E532" s="69">
        <v>0.0</v>
      </c>
      <c r="F532" s="29"/>
      <c r="G532" s="25">
        <v>13800.0</v>
      </c>
      <c r="H532" s="183"/>
      <c r="I532" s="183"/>
      <c r="J532" s="183"/>
      <c r="K532" s="183"/>
      <c r="L532" s="183"/>
      <c r="M532" s="183"/>
      <c r="N532" s="183"/>
    </row>
    <row r="533" ht="15.75" hidden="1" customHeight="1">
      <c r="A533" s="2" t="s">
        <v>3760</v>
      </c>
      <c r="B533" s="2" t="s">
        <v>3761</v>
      </c>
      <c r="C533" s="2"/>
      <c r="D533" s="3"/>
      <c r="E533" s="4">
        <v>0.0</v>
      </c>
      <c r="F533" s="5"/>
      <c r="G533" s="163"/>
      <c r="H533" s="2"/>
      <c r="I533" s="2"/>
      <c r="J533" s="2"/>
      <c r="K533" s="2"/>
      <c r="L533" s="2"/>
      <c r="M533" s="2"/>
      <c r="N533" s="2"/>
    </row>
    <row r="534" ht="15.75" hidden="1" customHeight="1">
      <c r="A534" s="2" t="s">
        <v>3762</v>
      </c>
      <c r="B534" s="2" t="s">
        <v>3761</v>
      </c>
      <c r="C534" s="2"/>
      <c r="D534" s="3"/>
      <c r="E534" s="4">
        <v>0.0</v>
      </c>
      <c r="F534" s="5"/>
      <c r="G534" s="163"/>
      <c r="H534" s="2"/>
      <c r="I534" s="2"/>
      <c r="J534" s="2"/>
      <c r="K534" s="2"/>
      <c r="L534" s="2"/>
      <c r="M534" s="2"/>
      <c r="N534" s="2"/>
    </row>
    <row r="535" ht="15.75" hidden="1" customHeight="1">
      <c r="A535" s="2" t="s">
        <v>3763</v>
      </c>
      <c r="B535" s="2" t="s">
        <v>3764</v>
      </c>
      <c r="C535" s="2" t="s">
        <v>3765</v>
      </c>
      <c r="D535" s="3"/>
      <c r="E535" s="4">
        <v>0.0</v>
      </c>
      <c r="F535" s="5"/>
      <c r="G535" s="163"/>
      <c r="H535" s="2"/>
      <c r="I535" s="2"/>
      <c r="J535" s="2"/>
      <c r="K535" s="2"/>
      <c r="L535" s="2"/>
      <c r="M535" s="2"/>
      <c r="N535" s="2"/>
    </row>
    <row r="536" ht="15.75" hidden="1" customHeight="1">
      <c r="A536" s="22" t="s">
        <v>3766</v>
      </c>
      <c r="B536" s="55" t="s">
        <v>3767</v>
      </c>
      <c r="C536" s="27" t="s">
        <v>3768</v>
      </c>
      <c r="D536" s="32" t="s">
        <v>3769</v>
      </c>
      <c r="E536" s="4">
        <v>0.0</v>
      </c>
      <c r="F536" s="5"/>
      <c r="G536" s="25">
        <v>1350.0</v>
      </c>
      <c r="H536" s="2"/>
      <c r="I536" s="2"/>
      <c r="J536" s="2"/>
      <c r="K536" s="2"/>
      <c r="L536" s="2"/>
      <c r="M536" s="2"/>
      <c r="N536" s="2"/>
    </row>
    <row r="537" ht="15.75" hidden="1" customHeight="1">
      <c r="A537" s="22" t="s">
        <v>3770</v>
      </c>
      <c r="B537" s="2" t="s">
        <v>3771</v>
      </c>
      <c r="C537" s="2" t="s">
        <v>3772</v>
      </c>
      <c r="D537" s="3"/>
      <c r="E537" s="69">
        <v>0.0</v>
      </c>
      <c r="F537" s="29"/>
      <c r="G537" s="25">
        <v>845.0</v>
      </c>
      <c r="H537" s="2"/>
      <c r="I537" s="2"/>
      <c r="J537" s="2"/>
      <c r="K537" s="2"/>
      <c r="L537" s="2"/>
      <c r="M537" s="2"/>
      <c r="N537" s="2"/>
    </row>
    <row r="538" ht="15.75" hidden="1" customHeight="1">
      <c r="A538" s="2" t="s">
        <v>3773</v>
      </c>
      <c r="B538" s="2" t="s">
        <v>3774</v>
      </c>
      <c r="C538" s="2" t="s">
        <v>3775</v>
      </c>
      <c r="D538" s="3" t="s">
        <v>3776</v>
      </c>
      <c r="E538" s="4">
        <v>0.0</v>
      </c>
      <c r="F538" s="5"/>
      <c r="G538" s="31">
        <v>900.0</v>
      </c>
      <c r="H538" s="2"/>
      <c r="I538" s="2"/>
      <c r="J538" s="2"/>
      <c r="K538" s="2"/>
      <c r="L538" s="2"/>
      <c r="M538" s="2"/>
      <c r="N538" s="2"/>
    </row>
    <row r="539" ht="15.75" hidden="1" customHeight="1">
      <c r="A539" s="2" t="s">
        <v>3777</v>
      </c>
      <c r="B539" s="55" t="s">
        <v>3778</v>
      </c>
      <c r="C539" s="27" t="s">
        <v>3779</v>
      </c>
      <c r="D539" s="32"/>
      <c r="E539" s="4"/>
      <c r="F539" s="5"/>
      <c r="G539" s="25"/>
      <c r="H539" s="2"/>
      <c r="I539" s="2"/>
      <c r="J539" s="2"/>
      <c r="K539" s="2"/>
      <c r="L539" s="2"/>
      <c r="M539" s="2"/>
      <c r="N539" s="2"/>
    </row>
    <row r="540" ht="15.75" hidden="1" customHeight="1">
      <c r="A540" s="22" t="s">
        <v>3780</v>
      </c>
      <c r="B540" s="55" t="s">
        <v>3781</v>
      </c>
      <c r="C540" s="27" t="s">
        <v>3779</v>
      </c>
      <c r="D540" s="32" t="s">
        <v>3782</v>
      </c>
      <c r="E540" s="69">
        <v>0.0</v>
      </c>
      <c r="F540" s="29"/>
      <c r="G540" s="25">
        <v>2700.0</v>
      </c>
      <c r="H540" s="2"/>
      <c r="I540" s="2"/>
      <c r="J540" s="2"/>
      <c r="K540" s="2"/>
      <c r="L540" s="2"/>
      <c r="M540" s="2"/>
      <c r="N540" s="2"/>
    </row>
    <row r="541" ht="15.75" hidden="1" customHeight="1">
      <c r="A541" s="22" t="s">
        <v>3783</v>
      </c>
      <c r="B541" s="55" t="s">
        <v>3784</v>
      </c>
      <c r="C541" s="27" t="s">
        <v>3517</v>
      </c>
      <c r="D541" s="32" t="s">
        <v>3785</v>
      </c>
      <c r="E541" s="4">
        <v>0.0</v>
      </c>
      <c r="F541" s="5"/>
      <c r="G541" s="25"/>
      <c r="H541" s="2"/>
      <c r="I541" s="2"/>
      <c r="J541" s="2"/>
      <c r="K541" s="2"/>
      <c r="L541" s="2"/>
      <c r="M541" s="2"/>
      <c r="N541" s="2"/>
    </row>
    <row r="542" ht="15.75" hidden="1" customHeight="1">
      <c r="A542" s="22" t="s">
        <v>3786</v>
      </c>
      <c r="B542" s="55" t="s">
        <v>3473</v>
      </c>
      <c r="C542" s="22" t="s">
        <v>3699</v>
      </c>
      <c r="D542" s="32" t="s">
        <v>3787</v>
      </c>
      <c r="E542" s="4">
        <v>0.0</v>
      </c>
      <c r="F542" s="5"/>
      <c r="G542" s="25">
        <v>88800.0</v>
      </c>
      <c r="H542" s="2"/>
      <c r="I542" s="2"/>
      <c r="J542" s="2"/>
      <c r="K542" s="2"/>
      <c r="L542" s="2"/>
      <c r="M542" s="2"/>
      <c r="N542" s="2"/>
    </row>
    <row r="543" ht="15.75" hidden="1" customHeight="1">
      <c r="A543" s="22" t="s">
        <v>3788</v>
      </c>
      <c r="B543" s="55" t="s">
        <v>3487</v>
      </c>
      <c r="C543" s="22" t="s">
        <v>3699</v>
      </c>
      <c r="D543" s="32" t="s">
        <v>3789</v>
      </c>
      <c r="E543" s="4">
        <v>0.0</v>
      </c>
      <c r="F543" s="5"/>
      <c r="G543" s="25">
        <v>34000.0</v>
      </c>
      <c r="H543" s="2"/>
      <c r="I543" s="2"/>
      <c r="J543" s="2"/>
      <c r="K543" s="2"/>
      <c r="L543" s="2"/>
      <c r="M543" s="2"/>
      <c r="N543" s="2"/>
    </row>
    <row r="544" ht="15.75" hidden="1" customHeight="1">
      <c r="A544" s="22" t="s">
        <v>3790</v>
      </c>
      <c r="B544" s="55" t="s">
        <v>3492</v>
      </c>
      <c r="C544" s="22" t="s">
        <v>3699</v>
      </c>
      <c r="D544" s="32" t="s">
        <v>3791</v>
      </c>
      <c r="E544" s="4">
        <v>0.0</v>
      </c>
      <c r="F544" s="5"/>
      <c r="G544" s="25">
        <v>19000.0</v>
      </c>
      <c r="H544" s="2"/>
      <c r="I544" s="2"/>
      <c r="J544" s="2"/>
      <c r="K544" s="2"/>
      <c r="L544" s="2"/>
      <c r="M544" s="2"/>
      <c r="N544" s="2"/>
    </row>
    <row r="545" ht="15.75" hidden="1" customHeight="1">
      <c r="A545" s="22" t="s">
        <v>3792</v>
      </c>
      <c r="B545" s="55" t="s">
        <v>3793</v>
      </c>
      <c r="C545" s="27" t="s">
        <v>2641</v>
      </c>
      <c r="D545" s="32">
        <v>91.0</v>
      </c>
      <c r="E545" s="4"/>
      <c r="F545" s="5"/>
      <c r="G545" s="25"/>
      <c r="H545" s="2"/>
      <c r="I545" s="2"/>
      <c r="J545" s="2"/>
      <c r="K545" s="2"/>
      <c r="L545" s="2"/>
      <c r="M545" s="2"/>
      <c r="N545" s="2"/>
    </row>
    <row r="546" ht="15.75" hidden="1" customHeight="1">
      <c r="A546" s="22" t="s">
        <v>3794</v>
      </c>
      <c r="B546" s="55" t="s">
        <v>3795</v>
      </c>
      <c r="C546" s="27" t="s">
        <v>2723</v>
      </c>
      <c r="D546" s="32" t="s">
        <v>3796</v>
      </c>
      <c r="E546" s="69">
        <v>0.0</v>
      </c>
      <c r="F546" s="29"/>
      <c r="G546" s="25">
        <v>2600.0</v>
      </c>
      <c r="H546" s="2"/>
      <c r="I546" s="2"/>
      <c r="J546" s="2"/>
      <c r="K546" s="2"/>
      <c r="L546" s="2"/>
      <c r="M546" s="2"/>
      <c r="N546" s="2"/>
    </row>
    <row r="547" ht="15.75" hidden="1" customHeight="1">
      <c r="A547" s="22" t="s">
        <v>3797</v>
      </c>
      <c r="B547" s="55" t="s">
        <v>3798</v>
      </c>
      <c r="C547" s="27" t="s">
        <v>3799</v>
      </c>
      <c r="D547" s="32" t="s">
        <v>3800</v>
      </c>
      <c r="E547" s="4">
        <v>0.0</v>
      </c>
      <c r="F547" s="5"/>
      <c r="G547" s="25">
        <v>2680.0</v>
      </c>
      <c r="H547" s="2"/>
      <c r="I547" s="2"/>
      <c r="J547" s="2"/>
      <c r="K547" s="2"/>
      <c r="L547" s="2"/>
      <c r="M547" s="2"/>
      <c r="N547" s="2"/>
    </row>
    <row r="548" ht="15.75" hidden="1" customHeight="1">
      <c r="A548" s="22" t="s">
        <v>3801</v>
      </c>
      <c r="B548" s="2" t="s">
        <v>3802</v>
      </c>
      <c r="C548" s="2" t="s">
        <v>3714</v>
      </c>
      <c r="D548" s="32"/>
      <c r="E548" s="4">
        <v>0.0</v>
      </c>
      <c r="F548" s="5"/>
      <c r="G548" s="25"/>
      <c r="H548" s="2"/>
      <c r="I548" s="2"/>
      <c r="J548" s="2"/>
      <c r="K548" s="2"/>
      <c r="L548" s="2"/>
      <c r="M548" s="2"/>
      <c r="N548" s="2"/>
    </row>
    <row r="549" ht="15.75" hidden="1" customHeight="1">
      <c r="A549" s="2" t="s">
        <v>3803</v>
      </c>
      <c r="B549" s="2" t="s">
        <v>3804</v>
      </c>
      <c r="C549" s="2" t="s">
        <v>3714</v>
      </c>
      <c r="D549" s="32" t="s">
        <v>2724</v>
      </c>
      <c r="E549" s="4">
        <v>0.0</v>
      </c>
      <c r="F549" s="5"/>
      <c r="G549" s="25">
        <v>2380.0</v>
      </c>
      <c r="H549" s="2"/>
      <c r="I549" s="2"/>
      <c r="J549" s="2"/>
      <c r="K549" s="2"/>
      <c r="L549" s="2"/>
      <c r="M549" s="2"/>
      <c r="N549" s="2"/>
    </row>
    <row r="550" ht="15.75" hidden="1" customHeight="1">
      <c r="A550" s="2" t="s">
        <v>3805</v>
      </c>
      <c r="B550" s="2" t="s">
        <v>3806</v>
      </c>
      <c r="C550" s="2" t="s">
        <v>3807</v>
      </c>
      <c r="D550" s="3" t="s">
        <v>3808</v>
      </c>
      <c r="E550" s="4">
        <v>0.0</v>
      </c>
      <c r="F550" s="5"/>
      <c r="G550" s="25">
        <v>1300.0</v>
      </c>
      <c r="H550" s="2"/>
      <c r="I550" s="2"/>
      <c r="J550" s="2"/>
      <c r="K550" s="2"/>
      <c r="L550" s="2"/>
      <c r="M550" s="2"/>
      <c r="N550" s="2"/>
    </row>
    <row r="551" ht="15.75" hidden="1" customHeight="1">
      <c r="A551" s="22" t="s">
        <v>3809</v>
      </c>
      <c r="B551" s="55" t="s">
        <v>3810</v>
      </c>
      <c r="C551" s="27" t="s">
        <v>3743</v>
      </c>
      <c r="D551" s="32" t="s">
        <v>3811</v>
      </c>
      <c r="E551" s="4">
        <v>0.0</v>
      </c>
      <c r="F551" s="5"/>
      <c r="G551" s="25">
        <v>1900.0</v>
      </c>
      <c r="H551" s="2"/>
      <c r="I551" s="2"/>
      <c r="J551" s="2"/>
      <c r="K551" s="2"/>
      <c r="L551" s="2"/>
      <c r="M551" s="2"/>
      <c r="N551" s="2"/>
    </row>
    <row r="552" ht="15.75" hidden="1" customHeight="1">
      <c r="A552" s="2" t="s">
        <v>3812</v>
      </c>
      <c r="B552" s="2" t="s">
        <v>3813</v>
      </c>
      <c r="C552" s="2" t="s">
        <v>3814</v>
      </c>
      <c r="D552" s="32"/>
      <c r="E552" s="4">
        <v>0.0</v>
      </c>
      <c r="F552" s="5"/>
      <c r="G552" s="25"/>
      <c r="H552" s="2"/>
      <c r="I552" s="2"/>
      <c r="J552" s="2"/>
      <c r="K552" s="2"/>
      <c r="L552" s="2"/>
      <c r="M552" s="2"/>
      <c r="N552" s="2"/>
    </row>
    <row r="553" ht="15.75" hidden="1" customHeight="1">
      <c r="A553" s="22" t="s">
        <v>3815</v>
      </c>
      <c r="B553" s="55" t="s">
        <v>3816</v>
      </c>
      <c r="C553" s="22" t="s">
        <v>3719</v>
      </c>
      <c r="D553" s="205" t="s">
        <v>3817</v>
      </c>
      <c r="E553" s="69">
        <v>0.0</v>
      </c>
      <c r="F553" s="29"/>
      <c r="G553" s="25">
        <v>3300.0</v>
      </c>
      <c r="H553" s="55"/>
      <c r="I553" s="55"/>
      <c r="J553" s="55"/>
      <c r="K553" s="55"/>
      <c r="L553" s="55"/>
      <c r="M553" s="55"/>
      <c r="N553" s="55"/>
    </row>
    <row r="554" ht="15.75" hidden="1" customHeight="1">
      <c r="A554" s="2" t="s">
        <v>3818</v>
      </c>
      <c r="B554" s="2" t="s">
        <v>3819</v>
      </c>
      <c r="C554" s="2" t="s">
        <v>3820</v>
      </c>
      <c r="D554" s="32" t="s">
        <v>900</v>
      </c>
      <c r="E554" s="4">
        <v>0.0</v>
      </c>
      <c r="F554" s="5"/>
      <c r="G554" s="25">
        <v>1200.0</v>
      </c>
      <c r="H554" s="2"/>
      <c r="I554" s="2"/>
      <c r="J554" s="2"/>
      <c r="K554" s="2"/>
      <c r="L554" s="2"/>
      <c r="M554" s="2"/>
      <c r="N554" s="2"/>
    </row>
    <row r="555" ht="15.75" hidden="1" customHeight="1">
      <c r="A555" s="2" t="s">
        <v>3821</v>
      </c>
      <c r="B555" s="2" t="s">
        <v>3822</v>
      </c>
      <c r="C555" s="2" t="s">
        <v>3823</v>
      </c>
      <c r="D555" s="32" t="s">
        <v>3824</v>
      </c>
      <c r="E555" s="4">
        <v>0.0</v>
      </c>
      <c r="F555" s="5"/>
      <c r="G555" s="25">
        <v>1600.0</v>
      </c>
      <c r="H555" s="2"/>
      <c r="I555" s="2"/>
      <c r="J555" s="2"/>
      <c r="K555" s="2"/>
      <c r="L555" s="2"/>
      <c r="M555" s="2"/>
      <c r="N555" s="2"/>
    </row>
    <row r="556" ht="15.75" hidden="1" customHeight="1">
      <c r="A556" s="2" t="s">
        <v>3825</v>
      </c>
      <c r="B556" s="2" t="s">
        <v>3826</v>
      </c>
      <c r="C556" s="2" t="s">
        <v>3827</v>
      </c>
      <c r="D556" s="32" t="s">
        <v>3828</v>
      </c>
      <c r="E556" s="69">
        <v>0.0</v>
      </c>
      <c r="F556" s="29"/>
      <c r="G556" s="25">
        <v>1900.0</v>
      </c>
      <c r="H556" s="2"/>
      <c r="I556" s="2"/>
      <c r="J556" s="2"/>
      <c r="K556" s="2"/>
      <c r="L556" s="2"/>
      <c r="M556" s="2"/>
      <c r="N556" s="2"/>
    </row>
    <row r="557" ht="15.75" hidden="1" customHeight="1">
      <c r="A557" s="60" t="s">
        <v>3829</v>
      </c>
      <c r="B557" s="145" t="s">
        <v>3830</v>
      </c>
      <c r="C557" s="22" t="s">
        <v>3831</v>
      </c>
      <c r="D557" s="32"/>
      <c r="E557" s="4">
        <v>0.0</v>
      </c>
      <c r="F557" s="5"/>
      <c r="G557" s="25">
        <v>2980.0</v>
      </c>
      <c r="H557" s="2"/>
      <c r="I557" s="2"/>
      <c r="J557" s="2"/>
      <c r="K557" s="2"/>
      <c r="L557" s="2"/>
      <c r="M557" s="2"/>
      <c r="N557" s="2"/>
    </row>
    <row r="558" ht="15.75" hidden="1" customHeight="1">
      <c r="A558" s="60" t="s">
        <v>3832</v>
      </c>
      <c r="B558" s="145" t="s">
        <v>3833</v>
      </c>
      <c r="C558" s="22" t="s">
        <v>3834</v>
      </c>
      <c r="D558" s="32" t="s">
        <v>342</v>
      </c>
      <c r="E558" s="4">
        <v>0.0</v>
      </c>
      <c r="F558" s="5"/>
      <c r="G558" s="25">
        <v>5500.0</v>
      </c>
      <c r="H558" s="2"/>
      <c r="I558" s="2"/>
      <c r="J558" s="2"/>
      <c r="K558" s="2"/>
      <c r="L558" s="2"/>
      <c r="M558" s="2"/>
      <c r="N558" s="2"/>
    </row>
    <row r="559" ht="15.75" hidden="1" customHeight="1">
      <c r="A559" s="60" t="s">
        <v>3835</v>
      </c>
      <c r="B559" s="145" t="s">
        <v>3836</v>
      </c>
      <c r="C559" s="22" t="s">
        <v>3151</v>
      </c>
      <c r="D559" s="32"/>
      <c r="E559" s="4">
        <v>0.0</v>
      </c>
      <c r="F559" s="5"/>
      <c r="G559" s="25">
        <v>9800.0</v>
      </c>
      <c r="H559" s="2"/>
      <c r="I559" s="2"/>
      <c r="J559" s="2"/>
      <c r="K559" s="2"/>
      <c r="L559" s="2"/>
      <c r="M559" s="2"/>
      <c r="N559" s="2"/>
    </row>
    <row r="560" ht="15.75" hidden="1" customHeight="1">
      <c r="A560" s="2" t="s">
        <v>3837</v>
      </c>
      <c r="B560" s="2" t="s">
        <v>3758</v>
      </c>
      <c r="C560" s="33" t="s">
        <v>3759</v>
      </c>
      <c r="D560" s="206" t="s">
        <v>3168</v>
      </c>
      <c r="E560" s="69">
        <v>0.0</v>
      </c>
      <c r="F560" s="29"/>
      <c r="G560" s="25">
        <v>15000.0</v>
      </c>
      <c r="H560" s="183"/>
      <c r="I560" s="183"/>
      <c r="J560" s="183"/>
      <c r="K560" s="183"/>
      <c r="L560" s="183"/>
      <c r="M560" s="183"/>
      <c r="N560" s="183"/>
    </row>
    <row r="561" ht="15.75" hidden="1" customHeight="1">
      <c r="A561" s="2" t="s">
        <v>3838</v>
      </c>
      <c r="B561" s="2" t="s">
        <v>3839</v>
      </c>
      <c r="C561" s="33" t="s">
        <v>3840</v>
      </c>
      <c r="D561" s="51" t="s">
        <v>3059</v>
      </c>
      <c r="E561" s="69">
        <v>0.0</v>
      </c>
      <c r="F561" s="29"/>
      <c r="G561" s="25">
        <v>13000.0</v>
      </c>
      <c r="H561" s="183"/>
      <c r="I561" s="183"/>
      <c r="J561" s="183"/>
      <c r="K561" s="183"/>
      <c r="L561" s="183"/>
      <c r="M561" s="183"/>
      <c r="N561" s="183"/>
    </row>
    <row r="562" ht="15.75" hidden="1" customHeight="1">
      <c r="A562" s="2" t="s">
        <v>3841</v>
      </c>
      <c r="B562" s="2" t="s">
        <v>3839</v>
      </c>
      <c r="C562" s="33" t="s">
        <v>3840</v>
      </c>
      <c r="D562" s="51" t="s">
        <v>3059</v>
      </c>
      <c r="E562" s="69">
        <v>0.0</v>
      </c>
      <c r="F562" s="29"/>
      <c r="G562" s="25">
        <v>12800.0</v>
      </c>
      <c r="H562" s="183"/>
      <c r="I562" s="183"/>
      <c r="J562" s="183"/>
      <c r="K562" s="183"/>
      <c r="L562" s="183"/>
      <c r="M562" s="183"/>
      <c r="N562" s="183"/>
    </row>
    <row r="563" ht="15.75" hidden="1" customHeight="1">
      <c r="A563" s="2" t="s">
        <v>3842</v>
      </c>
      <c r="B563" s="2" t="s">
        <v>3843</v>
      </c>
      <c r="C563" s="2" t="s">
        <v>3844</v>
      </c>
      <c r="D563" s="28"/>
      <c r="E563" s="69">
        <v>0.0</v>
      </c>
      <c r="F563" s="29"/>
      <c r="G563" s="25">
        <v>5000.0</v>
      </c>
      <c r="H563" s="183"/>
      <c r="I563" s="183"/>
      <c r="J563" s="183"/>
      <c r="K563" s="183"/>
      <c r="L563" s="183"/>
      <c r="M563" s="183"/>
      <c r="N563" s="183"/>
    </row>
    <row r="564" ht="15.75" hidden="1" customHeight="1">
      <c r="A564" s="2" t="s">
        <v>3845</v>
      </c>
      <c r="B564" s="2" t="s">
        <v>3843</v>
      </c>
      <c r="C564" s="2" t="s">
        <v>3844</v>
      </c>
      <c r="D564" s="28"/>
      <c r="E564" s="69">
        <v>0.0</v>
      </c>
      <c r="F564" s="29"/>
      <c r="G564" s="25">
        <v>5200.0</v>
      </c>
      <c r="H564" s="183"/>
      <c r="I564" s="183"/>
      <c r="J564" s="183"/>
      <c r="K564" s="183"/>
      <c r="L564" s="183"/>
      <c r="M564" s="183"/>
      <c r="N564" s="183"/>
    </row>
    <row r="565" ht="15.75" hidden="1" customHeight="1">
      <c r="A565" s="2" t="s">
        <v>3846</v>
      </c>
      <c r="B565" s="2" t="s">
        <v>3847</v>
      </c>
      <c r="C565" s="33" t="s">
        <v>3848</v>
      </c>
      <c r="D565" s="51" t="s">
        <v>3201</v>
      </c>
      <c r="E565" s="69">
        <v>0.0</v>
      </c>
      <c r="F565" s="29"/>
      <c r="G565" s="25">
        <v>12500.0</v>
      </c>
      <c r="H565" s="183"/>
      <c r="I565" s="183"/>
      <c r="J565" s="183"/>
      <c r="K565" s="183"/>
      <c r="L565" s="183"/>
      <c r="M565" s="183"/>
      <c r="N565" s="183"/>
    </row>
    <row r="566" ht="15.75" hidden="1" customHeight="1">
      <c r="A566" s="2" t="s">
        <v>3849</v>
      </c>
      <c r="B566" s="2" t="s">
        <v>3850</v>
      </c>
      <c r="C566" s="2" t="s">
        <v>3754</v>
      </c>
      <c r="D566" s="3" t="s">
        <v>1207</v>
      </c>
      <c r="E566" s="69">
        <v>0.0</v>
      </c>
      <c r="F566" s="29"/>
      <c r="G566" s="163">
        <v>3680.0</v>
      </c>
      <c r="H566" s="2"/>
      <c r="I566" s="2"/>
      <c r="J566" s="2"/>
      <c r="K566" s="2"/>
      <c r="L566" s="2"/>
      <c r="M566" s="2"/>
      <c r="N566" s="2"/>
    </row>
    <row r="567" ht="15.75" hidden="1" customHeight="1">
      <c r="A567" s="2" t="s">
        <v>3851</v>
      </c>
      <c r="B567" s="2" t="s">
        <v>3852</v>
      </c>
      <c r="C567" s="2" t="s">
        <v>3754</v>
      </c>
      <c r="D567" s="3" t="s">
        <v>1724</v>
      </c>
      <c r="E567" s="69">
        <v>0.0</v>
      </c>
      <c r="F567" s="29"/>
      <c r="G567" s="163">
        <v>3200.0</v>
      </c>
      <c r="H567" s="2"/>
      <c r="I567" s="2"/>
      <c r="J567" s="2"/>
      <c r="K567" s="2"/>
      <c r="L567" s="2"/>
      <c r="M567" s="2"/>
      <c r="N567" s="2"/>
    </row>
    <row r="568" ht="15.75" hidden="1" customHeight="1">
      <c r="A568" s="2" t="s">
        <v>3853</v>
      </c>
      <c r="B568" s="2" t="s">
        <v>3854</v>
      </c>
      <c r="C568" s="2" t="s">
        <v>3855</v>
      </c>
      <c r="D568" s="32" t="s">
        <v>3856</v>
      </c>
      <c r="E568" s="69">
        <v>0.0</v>
      </c>
      <c r="F568" s="29"/>
      <c r="G568" s="25">
        <v>1850.0</v>
      </c>
      <c r="H568" s="2"/>
      <c r="I568" s="2"/>
      <c r="J568" s="2"/>
      <c r="K568" s="2"/>
      <c r="L568" s="2"/>
      <c r="M568" s="2"/>
      <c r="N568" s="2"/>
    </row>
    <row r="569" ht="15.75" hidden="1" customHeight="1">
      <c r="A569" s="22" t="s">
        <v>3857</v>
      </c>
      <c r="B569" s="5" t="s">
        <v>3858</v>
      </c>
      <c r="C569" s="5" t="s">
        <v>3859</v>
      </c>
      <c r="D569" s="32" t="s">
        <v>3860</v>
      </c>
      <c r="E569" s="4">
        <v>0.0</v>
      </c>
      <c r="F569" s="5"/>
      <c r="G569" s="25">
        <v>1980.0</v>
      </c>
      <c r="H569" s="2"/>
      <c r="I569" s="2"/>
      <c r="J569" s="2"/>
      <c r="K569" s="2"/>
      <c r="L569" s="2"/>
      <c r="M569" s="2"/>
      <c r="N569" s="2"/>
    </row>
    <row r="570" ht="15.75" hidden="1" customHeight="1">
      <c r="A570" s="22" t="s">
        <v>3861</v>
      </c>
      <c r="B570" s="55" t="s">
        <v>3862</v>
      </c>
      <c r="C570" s="27" t="s">
        <v>3863</v>
      </c>
      <c r="D570" s="32" t="s">
        <v>1996</v>
      </c>
      <c r="E570" s="4">
        <v>0.0</v>
      </c>
      <c r="F570" s="5"/>
      <c r="G570" s="25">
        <v>1160.0</v>
      </c>
      <c r="H570" s="2"/>
      <c r="I570" s="2"/>
      <c r="J570" s="2"/>
      <c r="K570" s="2"/>
      <c r="L570" s="2"/>
      <c r="M570" s="2"/>
      <c r="N570" s="2"/>
    </row>
    <row r="571" ht="15.75" hidden="1" customHeight="1">
      <c r="A571" s="22" t="s">
        <v>3864</v>
      </c>
      <c r="B571" s="2" t="s">
        <v>3865</v>
      </c>
      <c r="C571" s="2" t="s">
        <v>3772</v>
      </c>
      <c r="D571" s="3"/>
      <c r="E571" s="69">
        <v>0.0</v>
      </c>
      <c r="F571" s="29"/>
      <c r="G571" s="25">
        <v>845.0</v>
      </c>
      <c r="H571" s="2"/>
      <c r="I571" s="2"/>
      <c r="J571" s="2"/>
      <c r="K571" s="2"/>
      <c r="L571" s="2"/>
      <c r="M571" s="2"/>
      <c r="N571" s="2"/>
    </row>
    <row r="572" ht="15.75" hidden="1" customHeight="1">
      <c r="A572" s="2" t="s">
        <v>2473</v>
      </c>
      <c r="B572" s="2" t="s">
        <v>3866</v>
      </c>
      <c r="C572" s="2" t="s">
        <v>3867</v>
      </c>
      <c r="D572" s="32" t="s">
        <v>3868</v>
      </c>
      <c r="E572" s="69">
        <v>0.0</v>
      </c>
      <c r="F572" s="29"/>
      <c r="G572" s="25">
        <v>1960.0</v>
      </c>
      <c r="H572" s="2"/>
      <c r="I572" s="2"/>
      <c r="J572" s="2"/>
      <c r="K572" s="2"/>
      <c r="L572" s="2"/>
      <c r="M572" s="2"/>
      <c r="N572" s="2"/>
    </row>
    <row r="573" ht="15.75" hidden="1" customHeight="1">
      <c r="A573" s="22" t="s">
        <v>3869</v>
      </c>
      <c r="B573" s="55" t="s">
        <v>2685</v>
      </c>
      <c r="C573" s="27" t="s">
        <v>2683</v>
      </c>
      <c r="D573" s="32" t="s">
        <v>3870</v>
      </c>
      <c r="E573" s="69">
        <v>0.0</v>
      </c>
      <c r="F573" s="29"/>
      <c r="G573" s="25">
        <v>2280.0</v>
      </c>
      <c r="H573" s="2"/>
      <c r="I573" s="2"/>
      <c r="J573" s="2"/>
      <c r="K573" s="2"/>
      <c r="L573" s="2"/>
      <c r="M573" s="2"/>
      <c r="N573" s="2"/>
    </row>
    <row r="574" ht="15.75" hidden="1" customHeight="1">
      <c r="A574" s="22" t="s">
        <v>3871</v>
      </c>
      <c r="B574" s="55" t="s">
        <v>3872</v>
      </c>
      <c r="C574" s="27" t="s">
        <v>2695</v>
      </c>
      <c r="D574" s="32" t="s">
        <v>3873</v>
      </c>
      <c r="E574" s="69">
        <v>0.0</v>
      </c>
      <c r="F574" s="29"/>
      <c r="G574" s="25">
        <v>6500.0</v>
      </c>
      <c r="H574" s="2"/>
      <c r="I574" s="2"/>
      <c r="J574" s="2"/>
      <c r="K574" s="2"/>
      <c r="L574" s="2"/>
      <c r="M574" s="2"/>
      <c r="N574" s="2"/>
    </row>
    <row r="575" ht="15.75" hidden="1" customHeight="1">
      <c r="A575" s="168" t="s">
        <v>3874</v>
      </c>
      <c r="B575" s="2" t="s">
        <v>3875</v>
      </c>
      <c r="C575" s="2" t="s">
        <v>3714</v>
      </c>
      <c r="D575" s="32" t="s">
        <v>3876</v>
      </c>
      <c r="E575" s="4">
        <v>0.0</v>
      </c>
      <c r="F575" s="5"/>
      <c r="G575" s="25">
        <v>2280.0</v>
      </c>
      <c r="H575" s="2"/>
      <c r="I575" s="2"/>
      <c r="J575" s="2"/>
      <c r="K575" s="2"/>
      <c r="L575" s="2"/>
      <c r="M575" s="2"/>
      <c r="N575" s="2"/>
    </row>
    <row r="576" ht="15.75" hidden="1" customHeight="1">
      <c r="A576" s="2" t="s">
        <v>3877</v>
      </c>
      <c r="B576" s="2" t="s">
        <v>3878</v>
      </c>
      <c r="C576" s="2" t="s">
        <v>3879</v>
      </c>
      <c r="D576" s="3"/>
      <c r="E576" s="4">
        <v>0.0</v>
      </c>
      <c r="F576" s="5"/>
      <c r="G576" s="31">
        <v>1100.0</v>
      </c>
      <c r="H576" s="2"/>
      <c r="I576" s="2"/>
      <c r="J576" s="2"/>
      <c r="K576" s="2"/>
      <c r="L576" s="2"/>
      <c r="M576" s="2"/>
      <c r="N576" s="2"/>
    </row>
    <row r="577" ht="15.75" hidden="1" customHeight="1">
      <c r="A577" s="2" t="s">
        <v>3880</v>
      </c>
      <c r="B577" s="2" t="s">
        <v>3881</v>
      </c>
      <c r="C577" s="2" t="s">
        <v>3882</v>
      </c>
      <c r="D577" s="32"/>
      <c r="E577" s="4"/>
      <c r="F577" s="5"/>
      <c r="G577" s="25"/>
      <c r="H577" s="2"/>
      <c r="I577" s="2"/>
      <c r="J577" s="2"/>
      <c r="K577" s="2"/>
      <c r="L577" s="2"/>
      <c r="M577" s="2"/>
      <c r="N577" s="2"/>
    </row>
    <row r="578" ht="15.75" hidden="1" customHeight="1">
      <c r="A578" s="2" t="s">
        <v>3883</v>
      </c>
      <c r="B578" s="2" t="s">
        <v>3884</v>
      </c>
      <c r="C578" s="2" t="s">
        <v>3885</v>
      </c>
      <c r="D578" s="32"/>
      <c r="E578" s="4">
        <v>0.0</v>
      </c>
      <c r="F578" s="5"/>
      <c r="G578" s="25"/>
      <c r="H578" s="2"/>
      <c r="I578" s="2"/>
      <c r="J578" s="2"/>
      <c r="K578" s="2"/>
      <c r="L578" s="2"/>
      <c r="M578" s="2"/>
      <c r="N578" s="2"/>
    </row>
    <row r="579" ht="15.75" hidden="1" customHeight="1">
      <c r="A579" s="2" t="s">
        <v>3886</v>
      </c>
      <c r="B579" s="55" t="s">
        <v>3887</v>
      </c>
      <c r="C579" s="27" t="s">
        <v>3069</v>
      </c>
      <c r="D579" s="32"/>
      <c r="E579" s="69">
        <v>0.0</v>
      </c>
      <c r="F579" s="29"/>
      <c r="G579" s="25"/>
      <c r="H579" s="2"/>
      <c r="I579" s="2"/>
      <c r="J579" s="2"/>
      <c r="K579" s="2"/>
      <c r="L579" s="2"/>
      <c r="M579" s="2"/>
      <c r="N579" s="2"/>
    </row>
    <row r="580" ht="15.75" hidden="1" customHeight="1">
      <c r="A580" s="22" t="s">
        <v>3888</v>
      </c>
      <c r="B580" s="55" t="s">
        <v>3889</v>
      </c>
      <c r="C580" s="27" t="s">
        <v>3679</v>
      </c>
      <c r="D580" s="32"/>
      <c r="E580" s="69">
        <v>0.0</v>
      </c>
      <c r="F580" s="29"/>
      <c r="G580" s="25"/>
      <c r="H580" s="2"/>
      <c r="I580" s="2"/>
      <c r="J580" s="2"/>
      <c r="K580" s="2"/>
      <c r="L580" s="2"/>
      <c r="M580" s="2"/>
      <c r="N580" s="2"/>
    </row>
    <row r="581" ht="15.75" hidden="1" customHeight="1">
      <c r="A581" s="2" t="s">
        <v>3890</v>
      </c>
      <c r="B581" s="2" t="s">
        <v>3891</v>
      </c>
      <c r="C581" s="2" t="s">
        <v>3892</v>
      </c>
      <c r="D581" s="32"/>
      <c r="E581" s="69">
        <v>0.0</v>
      </c>
      <c r="F581" s="29"/>
      <c r="G581" s="25">
        <v>1550.0</v>
      </c>
      <c r="H581" s="2"/>
      <c r="I581" s="2"/>
      <c r="J581" s="2"/>
      <c r="K581" s="2"/>
      <c r="L581" s="2"/>
      <c r="M581" s="2"/>
      <c r="N581" s="2"/>
    </row>
    <row r="582" ht="15.75" hidden="1" customHeight="1">
      <c r="A582" s="60" t="s">
        <v>3893</v>
      </c>
      <c r="B582" s="145" t="s">
        <v>3894</v>
      </c>
      <c r="C582" s="145" t="s">
        <v>3895</v>
      </c>
      <c r="D582" s="32" t="s">
        <v>2300</v>
      </c>
      <c r="E582" s="4">
        <v>0.0</v>
      </c>
      <c r="F582" s="5"/>
      <c r="G582" s="25">
        <v>2500.0</v>
      </c>
      <c r="H582" s="2"/>
      <c r="I582" s="2"/>
      <c r="J582" s="2"/>
      <c r="K582" s="2"/>
      <c r="L582" s="2"/>
      <c r="M582" s="2"/>
      <c r="N582" s="2"/>
    </row>
    <row r="583" ht="15.75" hidden="1" customHeight="1">
      <c r="A583" s="2" t="s">
        <v>3896</v>
      </c>
      <c r="B583" s="2" t="s">
        <v>3847</v>
      </c>
      <c r="C583" s="33" t="s">
        <v>3848</v>
      </c>
      <c r="D583" s="51" t="s">
        <v>3201</v>
      </c>
      <c r="E583" s="69">
        <v>0.0</v>
      </c>
      <c r="F583" s="29"/>
      <c r="G583" s="25">
        <v>12800.0</v>
      </c>
      <c r="H583" s="183"/>
      <c r="I583" s="183"/>
      <c r="J583" s="183"/>
      <c r="K583" s="183"/>
      <c r="L583" s="183"/>
      <c r="M583" s="183"/>
      <c r="N583" s="183"/>
    </row>
    <row r="584" ht="15.75" hidden="1" customHeight="1">
      <c r="A584" s="2" t="s">
        <v>3897</v>
      </c>
      <c r="B584" s="2" t="s">
        <v>3847</v>
      </c>
      <c r="C584" s="33" t="s">
        <v>3848</v>
      </c>
      <c r="D584" s="51" t="s">
        <v>3201</v>
      </c>
      <c r="E584" s="69">
        <v>0.0</v>
      </c>
      <c r="F584" s="29"/>
      <c r="G584" s="25">
        <v>12800.0</v>
      </c>
      <c r="H584" s="183"/>
      <c r="I584" s="183"/>
      <c r="J584" s="183"/>
      <c r="K584" s="183"/>
      <c r="L584" s="183"/>
      <c r="M584" s="183"/>
      <c r="N584" s="183"/>
    </row>
    <row r="585" ht="15.75" hidden="1" customHeight="1">
      <c r="A585" s="2" t="s">
        <v>3898</v>
      </c>
      <c r="B585" s="2" t="s">
        <v>3899</v>
      </c>
      <c r="C585" s="33" t="s">
        <v>3900</v>
      </c>
      <c r="D585" s="51"/>
      <c r="E585" s="69">
        <v>0.0</v>
      </c>
      <c r="F585" s="29"/>
      <c r="G585" s="25" t="s">
        <v>3901</v>
      </c>
      <c r="H585" s="183"/>
      <c r="I585" s="183"/>
      <c r="J585" s="183"/>
      <c r="K585" s="183"/>
      <c r="L585" s="183"/>
      <c r="M585" s="183"/>
      <c r="N585" s="183"/>
    </row>
    <row r="586" ht="15.75" hidden="1" customHeight="1">
      <c r="A586" s="2" t="s">
        <v>3902</v>
      </c>
      <c r="B586" s="2" t="s">
        <v>3903</v>
      </c>
      <c r="C586" s="33" t="s">
        <v>3848</v>
      </c>
      <c r="D586" s="51"/>
      <c r="E586" s="69">
        <v>0.0</v>
      </c>
      <c r="F586" s="29"/>
      <c r="G586" s="25">
        <v>6600.0</v>
      </c>
      <c r="H586" s="183"/>
      <c r="I586" s="183"/>
      <c r="J586" s="183"/>
      <c r="K586" s="183"/>
      <c r="L586" s="183"/>
      <c r="M586" s="183"/>
      <c r="N586" s="183"/>
    </row>
    <row r="587" ht="15.75" hidden="1" customHeight="1">
      <c r="A587" s="2" t="s">
        <v>3904</v>
      </c>
      <c r="B587" s="2" t="s">
        <v>3905</v>
      </c>
      <c r="C587" s="2" t="s">
        <v>3906</v>
      </c>
      <c r="D587" s="32" t="s">
        <v>3907</v>
      </c>
      <c r="E587" s="69">
        <v>0.0</v>
      </c>
      <c r="F587" s="29"/>
      <c r="G587" s="25">
        <v>10080.0</v>
      </c>
      <c r="H587" s="2"/>
      <c r="I587" s="2"/>
      <c r="J587" s="2"/>
      <c r="K587" s="2"/>
      <c r="L587" s="2"/>
      <c r="M587" s="2"/>
      <c r="N587" s="2"/>
    </row>
    <row r="588" ht="15.75" hidden="1" customHeight="1">
      <c r="A588" s="22" t="s">
        <v>3908</v>
      </c>
      <c r="B588" s="55" t="s">
        <v>3909</v>
      </c>
      <c r="C588" s="27" t="s">
        <v>3511</v>
      </c>
      <c r="D588" s="32" t="s">
        <v>3910</v>
      </c>
      <c r="E588" s="4">
        <v>0.0</v>
      </c>
      <c r="F588" s="5"/>
      <c r="G588" s="25">
        <v>28580.0</v>
      </c>
      <c r="H588" s="2"/>
      <c r="I588" s="2"/>
      <c r="J588" s="2"/>
      <c r="K588" s="2"/>
      <c r="L588" s="2"/>
      <c r="M588" s="2"/>
      <c r="N588" s="2"/>
    </row>
    <row r="589" ht="15.75" hidden="1" customHeight="1">
      <c r="A589" s="22" t="s">
        <v>3911</v>
      </c>
      <c r="B589" s="55" t="s">
        <v>3912</v>
      </c>
      <c r="C589" s="27" t="s">
        <v>3517</v>
      </c>
      <c r="D589" s="32" t="s">
        <v>3913</v>
      </c>
      <c r="E589" s="4">
        <v>0.0</v>
      </c>
      <c r="F589" s="5"/>
      <c r="G589" s="25">
        <v>18890.0</v>
      </c>
      <c r="H589" s="2"/>
      <c r="I589" s="2"/>
      <c r="J589" s="2"/>
      <c r="K589" s="2"/>
      <c r="L589" s="2"/>
      <c r="M589" s="2"/>
      <c r="N589" s="2"/>
    </row>
    <row r="590" ht="15.75" hidden="1" customHeight="1">
      <c r="A590" s="22" t="s">
        <v>3914</v>
      </c>
      <c r="B590" s="55" t="s">
        <v>3915</v>
      </c>
      <c r="C590" s="22" t="s">
        <v>3699</v>
      </c>
      <c r="D590" s="32" t="s">
        <v>3916</v>
      </c>
      <c r="E590" s="4">
        <v>0.0</v>
      </c>
      <c r="F590" s="5"/>
      <c r="G590" s="25">
        <v>19300.0</v>
      </c>
      <c r="H590" s="2"/>
      <c r="I590" s="2"/>
      <c r="J590" s="2"/>
      <c r="K590" s="2"/>
      <c r="L590" s="2"/>
      <c r="M590" s="2"/>
      <c r="N590" s="2"/>
    </row>
    <row r="591" ht="15.75" hidden="1" customHeight="1">
      <c r="A591" s="22" t="s">
        <v>3917</v>
      </c>
      <c r="B591" s="55" t="s">
        <v>3918</v>
      </c>
      <c r="C591" s="27" t="s">
        <v>3919</v>
      </c>
      <c r="D591" s="32" t="s">
        <v>3920</v>
      </c>
      <c r="E591" s="4">
        <v>0.0</v>
      </c>
      <c r="F591" s="5"/>
      <c r="G591" s="25">
        <v>2900.0</v>
      </c>
      <c r="H591" s="2"/>
      <c r="I591" s="2"/>
      <c r="J591" s="2"/>
      <c r="K591" s="2"/>
      <c r="L591" s="2"/>
      <c r="M591" s="2"/>
      <c r="N591" s="2"/>
    </row>
    <row r="592" ht="15.75" hidden="1" customHeight="1">
      <c r="A592" s="22" t="s">
        <v>3921</v>
      </c>
      <c r="B592" s="55" t="s">
        <v>3922</v>
      </c>
      <c r="C592" s="27" t="s">
        <v>3009</v>
      </c>
      <c r="D592" s="32" t="s">
        <v>3923</v>
      </c>
      <c r="E592" s="69">
        <v>0.0</v>
      </c>
      <c r="F592" s="29"/>
      <c r="G592" s="25">
        <v>3400.0</v>
      </c>
      <c r="H592" s="2"/>
      <c r="I592" s="2"/>
      <c r="J592" s="2"/>
      <c r="K592" s="2"/>
      <c r="L592" s="2"/>
      <c r="M592" s="2"/>
      <c r="N592" s="2"/>
    </row>
    <row r="593" ht="15.75" hidden="1" customHeight="1">
      <c r="A593" s="5" t="s">
        <v>3924</v>
      </c>
      <c r="B593" s="5" t="s">
        <v>3275</v>
      </c>
      <c r="C593" s="5" t="s">
        <v>3925</v>
      </c>
      <c r="D593" s="3" t="s">
        <v>3277</v>
      </c>
      <c r="E593" s="69">
        <v>0.0</v>
      </c>
      <c r="F593" s="29"/>
      <c r="G593" s="163">
        <v>12000.0</v>
      </c>
      <c r="H593" s="2"/>
      <c r="I593" s="2"/>
      <c r="J593" s="2"/>
      <c r="K593" s="2"/>
      <c r="L593" s="2"/>
      <c r="M593" s="2"/>
      <c r="N593" s="2"/>
    </row>
    <row r="594" ht="15.75" hidden="1" customHeight="1">
      <c r="A594" s="2" t="s">
        <v>3926</v>
      </c>
      <c r="B594" s="2" t="s">
        <v>3852</v>
      </c>
      <c r="C594" s="2" t="s">
        <v>3754</v>
      </c>
      <c r="D594" s="3" t="s">
        <v>1724</v>
      </c>
      <c r="E594" s="69">
        <v>0.0</v>
      </c>
      <c r="F594" s="29"/>
      <c r="G594" s="163">
        <v>3000.0</v>
      </c>
      <c r="H594" s="2"/>
      <c r="I594" s="2"/>
      <c r="J594" s="2"/>
      <c r="K594" s="2"/>
      <c r="L594" s="2"/>
      <c r="M594" s="2"/>
      <c r="N594" s="2"/>
    </row>
    <row r="595" ht="15.75" hidden="1" customHeight="1">
      <c r="A595" s="22" t="s">
        <v>3927</v>
      </c>
      <c r="B595" s="55" t="s">
        <v>3928</v>
      </c>
      <c r="C595" s="27" t="s">
        <v>3929</v>
      </c>
      <c r="D595" s="32" t="s">
        <v>3930</v>
      </c>
      <c r="E595" s="69">
        <v>0.0</v>
      </c>
      <c r="F595" s="29"/>
      <c r="G595" s="25">
        <v>14000.0</v>
      </c>
      <c r="H595" s="2"/>
      <c r="I595" s="2"/>
      <c r="J595" s="2"/>
      <c r="K595" s="2"/>
      <c r="L595" s="2"/>
      <c r="M595" s="2"/>
      <c r="N595" s="2"/>
    </row>
    <row r="596" ht="15.75" hidden="1" customHeight="1">
      <c r="A596" s="22" t="s">
        <v>3931</v>
      </c>
      <c r="B596" s="55" t="s">
        <v>3932</v>
      </c>
      <c r="C596" s="27" t="s">
        <v>3933</v>
      </c>
      <c r="D596" s="32" t="s">
        <v>3934</v>
      </c>
      <c r="E596" s="69">
        <v>0.0</v>
      </c>
      <c r="F596" s="29"/>
      <c r="G596" s="25">
        <v>14200.0</v>
      </c>
      <c r="H596" s="2"/>
      <c r="I596" s="2"/>
      <c r="J596" s="2"/>
      <c r="K596" s="2"/>
      <c r="L596" s="2"/>
      <c r="M596" s="2"/>
      <c r="N596" s="2"/>
    </row>
    <row r="597" ht="15.75" hidden="1" customHeight="1">
      <c r="A597" s="22" t="s">
        <v>3935</v>
      </c>
      <c r="B597" s="55" t="s">
        <v>3936</v>
      </c>
      <c r="C597" s="27" t="s">
        <v>3933</v>
      </c>
      <c r="D597" s="32" t="s">
        <v>3937</v>
      </c>
      <c r="E597" s="69">
        <v>0.0</v>
      </c>
      <c r="F597" s="29"/>
      <c r="G597" s="25">
        <v>14500.0</v>
      </c>
      <c r="H597" s="2"/>
      <c r="I597" s="2"/>
      <c r="J597" s="2"/>
      <c r="K597" s="2"/>
      <c r="L597" s="2"/>
      <c r="M597" s="2"/>
      <c r="N597" s="2"/>
    </row>
    <row r="598" ht="15.75" hidden="1" customHeight="1">
      <c r="A598" s="5" t="s">
        <v>3938</v>
      </c>
      <c r="B598" s="5" t="s">
        <v>3939</v>
      </c>
      <c r="C598" s="5" t="s">
        <v>3940</v>
      </c>
      <c r="D598" s="3" t="s">
        <v>3941</v>
      </c>
      <c r="E598" s="4">
        <v>0.0</v>
      </c>
      <c r="F598" s="5"/>
      <c r="G598" s="25">
        <v>7000.0</v>
      </c>
      <c r="H598" s="2"/>
      <c r="I598" s="2"/>
      <c r="J598" s="2"/>
      <c r="K598" s="2"/>
      <c r="L598" s="2"/>
      <c r="M598" s="2"/>
      <c r="N598" s="2"/>
    </row>
    <row r="599" ht="15.75" hidden="1" customHeight="1">
      <c r="A599" s="22" t="s">
        <v>3942</v>
      </c>
      <c r="B599" s="55" t="s">
        <v>3943</v>
      </c>
      <c r="C599" s="27" t="s">
        <v>3944</v>
      </c>
      <c r="D599" s="32" t="s">
        <v>3945</v>
      </c>
      <c r="E599" s="69">
        <v>0.0</v>
      </c>
      <c r="F599" s="29"/>
      <c r="G599" s="25">
        <v>16700.0</v>
      </c>
      <c r="H599" s="2"/>
      <c r="I599" s="2"/>
      <c r="J599" s="2"/>
      <c r="K599" s="2"/>
      <c r="L599" s="2"/>
      <c r="M599" s="2"/>
      <c r="N599" s="2"/>
    </row>
    <row r="600" ht="15.75" hidden="1" customHeight="1">
      <c r="A600" s="2" t="s">
        <v>3946</v>
      </c>
      <c r="B600" s="2" t="s">
        <v>3947</v>
      </c>
      <c r="C600" s="2" t="s">
        <v>3948</v>
      </c>
      <c r="D600" s="32" t="s">
        <v>3949</v>
      </c>
      <c r="E600" s="69">
        <v>0.0</v>
      </c>
      <c r="F600" s="29"/>
      <c r="G600" s="25">
        <v>8400.0</v>
      </c>
      <c r="H600" s="2"/>
      <c r="I600" s="2"/>
      <c r="J600" s="2"/>
      <c r="K600" s="2"/>
      <c r="L600" s="2"/>
      <c r="M600" s="2"/>
      <c r="N600" s="2"/>
    </row>
    <row r="601" ht="15.75" hidden="1" customHeight="1">
      <c r="A601" s="2" t="s">
        <v>3950</v>
      </c>
      <c r="B601" s="2" t="s">
        <v>3951</v>
      </c>
      <c r="C601" s="2" t="s">
        <v>3952</v>
      </c>
      <c r="D601" s="32" t="s">
        <v>3953</v>
      </c>
      <c r="E601" s="69">
        <v>0.0</v>
      </c>
      <c r="F601" s="29"/>
      <c r="G601" s="25">
        <v>8500.0</v>
      </c>
      <c r="H601" s="2"/>
      <c r="I601" s="2"/>
      <c r="J601" s="2"/>
      <c r="K601" s="2"/>
      <c r="L601" s="2"/>
      <c r="M601" s="2"/>
      <c r="N601" s="2"/>
    </row>
    <row r="602" ht="15.75" hidden="1" customHeight="1">
      <c r="A602" s="22" t="s">
        <v>3954</v>
      </c>
      <c r="B602" s="55" t="s">
        <v>3955</v>
      </c>
      <c r="C602" s="27" t="s">
        <v>3956</v>
      </c>
      <c r="D602" s="32" t="s">
        <v>3957</v>
      </c>
      <c r="E602" s="4">
        <v>0.0</v>
      </c>
      <c r="F602" s="5"/>
      <c r="G602" s="25">
        <v>26800.0</v>
      </c>
      <c r="H602" s="2"/>
      <c r="I602" s="2"/>
      <c r="J602" s="2"/>
      <c r="K602" s="2"/>
      <c r="L602" s="2"/>
      <c r="M602" s="2"/>
      <c r="N602" s="2"/>
    </row>
    <row r="603" ht="15.75" hidden="1" customHeight="1">
      <c r="A603" s="22" t="s">
        <v>3958</v>
      </c>
      <c r="B603" s="55" t="s">
        <v>2550</v>
      </c>
      <c r="C603" s="27" t="s">
        <v>3959</v>
      </c>
      <c r="D603" s="32" t="s">
        <v>3960</v>
      </c>
      <c r="E603" s="4">
        <v>0.0</v>
      </c>
      <c r="F603" s="5"/>
      <c r="G603" s="25">
        <v>23000.0</v>
      </c>
      <c r="H603" s="2"/>
      <c r="I603" s="2"/>
      <c r="J603" s="2"/>
      <c r="K603" s="2"/>
      <c r="L603" s="2"/>
      <c r="M603" s="2"/>
      <c r="N603" s="2"/>
    </row>
    <row r="604" ht="15.75" hidden="1" customHeight="1">
      <c r="A604" s="22" t="s">
        <v>3961</v>
      </c>
      <c r="B604" s="55" t="s">
        <v>3962</v>
      </c>
      <c r="C604" s="27" t="s">
        <v>2599</v>
      </c>
      <c r="D604" s="32" t="s">
        <v>3963</v>
      </c>
      <c r="E604" s="4">
        <v>0.0</v>
      </c>
      <c r="F604" s="5"/>
      <c r="G604" s="25">
        <v>8880.0</v>
      </c>
      <c r="H604" s="2"/>
      <c r="I604" s="2"/>
      <c r="J604" s="2"/>
      <c r="K604" s="2"/>
      <c r="L604" s="2"/>
      <c r="M604" s="2"/>
      <c r="N604" s="2"/>
    </row>
    <row r="605" ht="15.75" hidden="1" customHeight="1">
      <c r="A605" s="22" t="s">
        <v>3964</v>
      </c>
      <c r="B605" s="2" t="s">
        <v>3965</v>
      </c>
      <c r="C605" s="27" t="s">
        <v>3966</v>
      </c>
      <c r="D605" s="3" t="s">
        <v>3967</v>
      </c>
      <c r="E605" s="4">
        <v>0.0</v>
      </c>
      <c r="F605" s="5"/>
      <c r="G605" s="25">
        <v>6400.0</v>
      </c>
      <c r="H605" s="2"/>
      <c r="I605" s="2"/>
      <c r="J605" s="2"/>
      <c r="K605" s="2"/>
      <c r="L605" s="2"/>
      <c r="M605" s="2"/>
      <c r="N605" s="2"/>
    </row>
    <row r="606" ht="15.75" hidden="1" customHeight="1">
      <c r="A606" s="22" t="s">
        <v>3968</v>
      </c>
      <c r="B606" s="55" t="s">
        <v>3969</v>
      </c>
      <c r="C606" s="22" t="s">
        <v>2664</v>
      </c>
      <c r="D606" s="32" t="s">
        <v>3970</v>
      </c>
      <c r="E606" s="4">
        <v>0.0</v>
      </c>
      <c r="F606" s="5"/>
      <c r="G606" s="25">
        <v>10000.0</v>
      </c>
      <c r="H606" s="2"/>
      <c r="I606" s="2"/>
      <c r="J606" s="2"/>
      <c r="K606" s="2"/>
      <c r="L606" s="2"/>
      <c r="M606" s="2"/>
      <c r="N606" s="2"/>
    </row>
    <row r="607" ht="15.75" hidden="1" customHeight="1">
      <c r="A607" s="22" t="s">
        <v>3971</v>
      </c>
      <c r="B607" s="55" t="s">
        <v>3972</v>
      </c>
      <c r="C607" s="22" t="s">
        <v>2664</v>
      </c>
      <c r="D607" s="32" t="s">
        <v>3973</v>
      </c>
      <c r="E607" s="4">
        <v>0.0</v>
      </c>
      <c r="F607" s="5"/>
      <c r="G607" s="25">
        <v>9600.0</v>
      </c>
      <c r="H607" s="2"/>
      <c r="I607" s="2"/>
      <c r="J607" s="2"/>
      <c r="K607" s="2"/>
      <c r="L607" s="2"/>
      <c r="M607" s="2"/>
      <c r="N607" s="2"/>
    </row>
    <row r="608" ht="15.75" hidden="1" customHeight="1">
      <c r="A608" s="22" t="s">
        <v>3974</v>
      </c>
      <c r="B608" s="55" t="s">
        <v>3706</v>
      </c>
      <c r="C608" s="27" t="s">
        <v>3707</v>
      </c>
      <c r="D608" s="32" t="s">
        <v>3975</v>
      </c>
      <c r="E608" s="69">
        <v>0.0</v>
      </c>
      <c r="F608" s="29"/>
      <c r="G608" s="25">
        <v>4900.0</v>
      </c>
      <c r="H608" s="2"/>
      <c r="I608" s="2"/>
      <c r="J608" s="2"/>
      <c r="K608" s="2"/>
      <c r="L608" s="2"/>
      <c r="M608" s="2"/>
      <c r="N608" s="2"/>
    </row>
    <row r="609" ht="15.75" hidden="1" customHeight="1">
      <c r="A609" s="22" t="s">
        <v>3976</v>
      </c>
      <c r="B609" s="55" t="s">
        <v>3977</v>
      </c>
      <c r="C609" s="27" t="s">
        <v>2683</v>
      </c>
      <c r="D609" s="32" t="s">
        <v>3978</v>
      </c>
      <c r="E609" s="69">
        <v>0.0</v>
      </c>
      <c r="F609" s="29"/>
      <c r="G609" s="25">
        <v>2200.0</v>
      </c>
      <c r="H609" s="2"/>
      <c r="I609" s="2"/>
      <c r="J609" s="2"/>
      <c r="K609" s="2"/>
      <c r="L609" s="2"/>
      <c r="M609" s="2"/>
      <c r="N609" s="2"/>
    </row>
    <row r="610" ht="15.75" hidden="1" customHeight="1">
      <c r="A610" s="22" t="s">
        <v>3979</v>
      </c>
      <c r="B610" s="55" t="s">
        <v>3980</v>
      </c>
      <c r="C610" s="27" t="s">
        <v>2695</v>
      </c>
      <c r="D610" s="32" t="s">
        <v>3981</v>
      </c>
      <c r="E610" s="69">
        <v>0.0</v>
      </c>
      <c r="F610" s="29"/>
      <c r="G610" s="25">
        <v>7680.0</v>
      </c>
      <c r="H610" s="2"/>
      <c r="I610" s="2"/>
      <c r="J610" s="2"/>
      <c r="K610" s="2"/>
      <c r="L610" s="2"/>
      <c r="M610" s="2"/>
      <c r="N610" s="2"/>
    </row>
    <row r="611" ht="15.75" hidden="1" customHeight="1">
      <c r="A611" s="2" t="s">
        <v>3982</v>
      </c>
      <c r="B611" s="2" t="s">
        <v>3983</v>
      </c>
      <c r="C611" s="2" t="s">
        <v>3984</v>
      </c>
      <c r="D611" s="32" t="s">
        <v>3985</v>
      </c>
      <c r="E611" s="4">
        <v>0.0</v>
      </c>
      <c r="F611" s="5"/>
      <c r="G611" s="25">
        <v>6200.0</v>
      </c>
      <c r="H611" s="2"/>
      <c r="I611" s="2"/>
      <c r="J611" s="2"/>
      <c r="K611" s="2"/>
      <c r="L611" s="2"/>
      <c r="M611" s="2"/>
      <c r="N611" s="2"/>
    </row>
    <row r="612" ht="15.75" hidden="1" customHeight="1">
      <c r="A612" s="2" t="s">
        <v>2765</v>
      </c>
      <c r="B612" s="2" t="s">
        <v>2766</v>
      </c>
      <c r="C612" s="2" t="s">
        <v>3986</v>
      </c>
      <c r="D612" s="32" t="s">
        <v>3987</v>
      </c>
      <c r="E612" s="4">
        <v>0.0</v>
      </c>
      <c r="F612" s="5"/>
      <c r="G612" s="25">
        <v>8800.0</v>
      </c>
      <c r="H612" s="2"/>
      <c r="I612" s="2"/>
      <c r="J612" s="2"/>
      <c r="K612" s="2"/>
      <c r="L612" s="2"/>
      <c r="M612" s="2"/>
      <c r="N612" s="2"/>
    </row>
    <row r="613" ht="15.75" hidden="1" customHeight="1">
      <c r="A613" s="2" t="s">
        <v>2769</v>
      </c>
      <c r="B613" s="2" t="s">
        <v>2770</v>
      </c>
      <c r="C613" s="2" t="s">
        <v>3986</v>
      </c>
      <c r="D613" s="32" t="s">
        <v>3988</v>
      </c>
      <c r="E613" s="4">
        <v>0.0</v>
      </c>
      <c r="F613" s="5"/>
      <c r="G613" s="25">
        <v>8800.0</v>
      </c>
      <c r="H613" s="2"/>
      <c r="I613" s="2"/>
      <c r="J613" s="2"/>
      <c r="K613" s="2"/>
      <c r="L613" s="2"/>
      <c r="M613" s="2"/>
      <c r="N613" s="2"/>
    </row>
    <row r="614" ht="15.75" hidden="1" customHeight="1">
      <c r="A614" s="2" t="s">
        <v>3989</v>
      </c>
      <c r="B614" s="2" t="s">
        <v>3990</v>
      </c>
      <c r="C614" s="2" t="s">
        <v>3986</v>
      </c>
      <c r="D614" s="32"/>
      <c r="E614" s="4">
        <v>0.0</v>
      </c>
      <c r="F614" s="5"/>
      <c r="G614" s="25"/>
      <c r="H614" s="2"/>
      <c r="I614" s="2"/>
      <c r="J614" s="2"/>
      <c r="K614" s="2"/>
      <c r="L614" s="2"/>
      <c r="M614" s="2"/>
      <c r="N614" s="2"/>
    </row>
    <row r="615" ht="15.75" hidden="1" customHeight="1">
      <c r="A615" s="2" t="s">
        <v>3991</v>
      </c>
      <c r="B615" s="2" t="s">
        <v>2775</v>
      </c>
      <c r="C615" s="2" t="s">
        <v>3986</v>
      </c>
      <c r="D615" s="32" t="s">
        <v>3992</v>
      </c>
      <c r="E615" s="4">
        <v>0.0</v>
      </c>
      <c r="F615" s="5"/>
      <c r="G615" s="25">
        <v>8000.0</v>
      </c>
      <c r="H615" s="2"/>
      <c r="I615" s="2"/>
      <c r="J615" s="2"/>
      <c r="K615" s="2"/>
      <c r="L615" s="2"/>
      <c r="M615" s="2"/>
      <c r="N615" s="2"/>
    </row>
    <row r="616" ht="15.75" hidden="1" customHeight="1">
      <c r="A616" s="2" t="s">
        <v>3993</v>
      </c>
      <c r="B616" s="2" t="s">
        <v>3994</v>
      </c>
      <c r="C616" s="2" t="s">
        <v>3995</v>
      </c>
      <c r="D616" s="32" t="s">
        <v>3996</v>
      </c>
      <c r="E616" s="4">
        <v>0.0</v>
      </c>
      <c r="F616" s="5"/>
      <c r="G616" s="25">
        <v>6600.0</v>
      </c>
      <c r="H616" s="2"/>
      <c r="I616" s="2"/>
      <c r="J616" s="2"/>
      <c r="K616" s="2"/>
      <c r="L616" s="2"/>
      <c r="M616" s="2"/>
      <c r="N616" s="2"/>
    </row>
    <row r="617" ht="15.75" hidden="1" customHeight="1">
      <c r="A617" s="22" t="s">
        <v>3997</v>
      </c>
      <c r="B617" s="55" t="s">
        <v>3998</v>
      </c>
      <c r="C617" s="22" t="s">
        <v>3999</v>
      </c>
      <c r="D617" s="32" t="s">
        <v>4000</v>
      </c>
      <c r="E617" s="4">
        <v>0.0</v>
      </c>
      <c r="F617" s="5"/>
      <c r="G617" s="25">
        <v>1200.0</v>
      </c>
      <c r="H617" s="2"/>
      <c r="I617" s="2"/>
      <c r="J617" s="2"/>
      <c r="K617" s="2"/>
      <c r="L617" s="2"/>
      <c r="M617" s="2"/>
      <c r="N617" s="2"/>
    </row>
    <row r="618" ht="15.75" hidden="1" customHeight="1">
      <c r="A618" s="22" t="s">
        <v>4001</v>
      </c>
      <c r="B618" s="55" t="s">
        <v>4002</v>
      </c>
      <c r="C618" s="22" t="s">
        <v>4003</v>
      </c>
      <c r="D618" s="32" t="s">
        <v>4004</v>
      </c>
      <c r="E618" s="4">
        <v>0.0</v>
      </c>
      <c r="F618" s="5"/>
      <c r="G618" s="25">
        <v>1250.0</v>
      </c>
      <c r="H618" s="2"/>
      <c r="I618" s="2"/>
      <c r="J618" s="2"/>
      <c r="K618" s="2"/>
      <c r="L618" s="2"/>
      <c r="M618" s="2"/>
      <c r="N618" s="2"/>
    </row>
    <row r="619" ht="15.75" hidden="1" customHeight="1">
      <c r="A619" s="2" t="s">
        <v>4005</v>
      </c>
      <c r="B619" s="2" t="s">
        <v>4006</v>
      </c>
      <c r="C619" s="2" t="s">
        <v>4007</v>
      </c>
      <c r="D619" s="32" t="s">
        <v>4008</v>
      </c>
      <c r="E619" s="4">
        <v>0.0</v>
      </c>
      <c r="F619" s="5"/>
      <c r="G619" s="25">
        <v>1950.0</v>
      </c>
      <c r="H619" s="2"/>
      <c r="I619" s="2"/>
      <c r="J619" s="2"/>
      <c r="K619" s="2"/>
      <c r="L619" s="2"/>
      <c r="M619" s="2"/>
      <c r="N619" s="2"/>
    </row>
    <row r="620" ht="15.75" hidden="1" customHeight="1">
      <c r="A620" s="2" t="s">
        <v>4009</v>
      </c>
      <c r="B620" s="2" t="s">
        <v>4010</v>
      </c>
      <c r="C620" s="2" t="s">
        <v>2905</v>
      </c>
      <c r="D620" s="32" t="s">
        <v>4011</v>
      </c>
      <c r="E620" s="4">
        <v>0.0</v>
      </c>
      <c r="F620" s="5"/>
      <c r="G620" s="25">
        <v>12600.0</v>
      </c>
      <c r="H620" s="2"/>
      <c r="I620" s="2"/>
      <c r="J620" s="2"/>
      <c r="K620" s="2"/>
      <c r="L620" s="2"/>
      <c r="M620" s="2"/>
      <c r="N620" s="2"/>
    </row>
    <row r="621" ht="15.75" hidden="1" customHeight="1">
      <c r="A621" s="22" t="s">
        <v>4012</v>
      </c>
      <c r="B621" s="2" t="s">
        <v>4013</v>
      </c>
      <c r="C621" s="2" t="s">
        <v>3751</v>
      </c>
      <c r="D621" s="3"/>
      <c r="E621" s="69">
        <v>0.0</v>
      </c>
      <c r="F621" s="29"/>
      <c r="G621" s="25">
        <v>950.0</v>
      </c>
      <c r="H621" s="2"/>
      <c r="I621" s="2"/>
      <c r="J621" s="2"/>
      <c r="K621" s="2"/>
      <c r="L621" s="2"/>
      <c r="M621" s="2"/>
      <c r="N621" s="2"/>
    </row>
    <row r="622" ht="15.75" hidden="1" customHeight="1">
      <c r="A622" s="22" t="s">
        <v>4014</v>
      </c>
      <c r="B622" s="2" t="s">
        <v>4015</v>
      </c>
      <c r="C622" s="2" t="s">
        <v>3751</v>
      </c>
      <c r="D622" s="3" t="s">
        <v>4016</v>
      </c>
      <c r="E622" s="69">
        <v>0.0</v>
      </c>
      <c r="F622" s="29"/>
      <c r="G622" s="25">
        <v>1150.0</v>
      </c>
      <c r="H622" s="2"/>
      <c r="I622" s="2"/>
      <c r="J622" s="2"/>
      <c r="K622" s="2"/>
      <c r="L622" s="2"/>
      <c r="M622" s="2"/>
      <c r="N622" s="2"/>
    </row>
    <row r="623" ht="15.75" hidden="1" customHeight="1">
      <c r="A623" s="22" t="s">
        <v>4017</v>
      </c>
      <c r="B623" s="2" t="s">
        <v>4018</v>
      </c>
      <c r="C623" s="2" t="s">
        <v>4019</v>
      </c>
      <c r="D623" s="3"/>
      <c r="E623" s="69">
        <v>0.0</v>
      </c>
      <c r="F623" s="29"/>
      <c r="G623" s="25">
        <v>950.0</v>
      </c>
      <c r="H623" s="2"/>
      <c r="I623" s="2"/>
      <c r="J623" s="2"/>
      <c r="K623" s="2"/>
      <c r="L623" s="2"/>
      <c r="M623" s="2"/>
      <c r="N623" s="2"/>
    </row>
    <row r="624" ht="15.75" hidden="1" customHeight="1">
      <c r="A624" s="22" t="s">
        <v>4020</v>
      </c>
      <c r="B624" s="2" t="s">
        <v>4021</v>
      </c>
      <c r="C624" s="2" t="s">
        <v>4019</v>
      </c>
      <c r="D624" s="3"/>
      <c r="E624" s="69">
        <v>0.0</v>
      </c>
      <c r="F624" s="29"/>
      <c r="G624" s="25">
        <v>1250.0</v>
      </c>
      <c r="H624" s="2"/>
      <c r="I624" s="2"/>
      <c r="J624" s="2"/>
      <c r="K624" s="2"/>
      <c r="L624" s="2"/>
      <c r="M624" s="2"/>
      <c r="N624" s="2"/>
    </row>
    <row r="625" ht="15.75" hidden="1" customHeight="1">
      <c r="A625" s="2" t="s">
        <v>4022</v>
      </c>
      <c r="B625" s="2" t="s">
        <v>4023</v>
      </c>
      <c r="C625" s="2" t="s">
        <v>4024</v>
      </c>
      <c r="D625" s="32"/>
      <c r="E625" s="4">
        <v>0.0</v>
      </c>
      <c r="F625" s="5"/>
      <c r="G625" s="25">
        <v>800.0</v>
      </c>
      <c r="H625" s="2"/>
      <c r="I625" s="2"/>
      <c r="J625" s="2"/>
      <c r="K625" s="2"/>
      <c r="L625" s="2"/>
      <c r="M625" s="2"/>
      <c r="N625" s="2"/>
    </row>
    <row r="626" ht="15.75" hidden="1" customHeight="1">
      <c r="A626" s="2" t="s">
        <v>4025</v>
      </c>
      <c r="B626" s="2" t="s">
        <v>4026</v>
      </c>
      <c r="C626" s="2" t="s">
        <v>3882</v>
      </c>
      <c r="D626" s="32" t="s">
        <v>4027</v>
      </c>
      <c r="E626" s="4">
        <v>0.0</v>
      </c>
      <c r="F626" s="5"/>
      <c r="G626" s="25">
        <v>2400.0</v>
      </c>
      <c r="H626" s="2"/>
      <c r="I626" s="2"/>
      <c r="J626" s="2"/>
      <c r="K626" s="2"/>
      <c r="L626" s="2"/>
      <c r="M626" s="2"/>
      <c r="N626" s="2"/>
    </row>
    <row r="627" ht="15.75" hidden="1" customHeight="1">
      <c r="A627" s="2" t="s">
        <v>4028</v>
      </c>
      <c r="B627" s="2" t="s">
        <v>4029</v>
      </c>
      <c r="C627" s="2" t="s">
        <v>4030</v>
      </c>
      <c r="D627" s="3" t="s">
        <v>4031</v>
      </c>
      <c r="E627" s="69">
        <v>0.0</v>
      </c>
      <c r="F627" s="29"/>
      <c r="G627" s="25">
        <v>1380.0</v>
      </c>
      <c r="H627" s="2"/>
      <c r="I627" s="2"/>
      <c r="J627" s="2"/>
      <c r="K627" s="2"/>
      <c r="L627" s="2"/>
      <c r="M627" s="2"/>
      <c r="N627" s="2"/>
    </row>
    <row r="628" ht="15.75" hidden="1" customHeight="1">
      <c r="A628" s="2" t="s">
        <v>4032</v>
      </c>
      <c r="B628" s="2" t="s">
        <v>4033</v>
      </c>
      <c r="C628" s="2" t="s">
        <v>4034</v>
      </c>
      <c r="D628" s="3" t="s">
        <v>4035</v>
      </c>
      <c r="E628" s="69">
        <v>0.0</v>
      </c>
      <c r="F628" s="29"/>
      <c r="G628" s="25">
        <v>980.0</v>
      </c>
      <c r="H628" s="2"/>
      <c r="I628" s="2"/>
      <c r="J628" s="2"/>
      <c r="K628" s="2"/>
      <c r="L628" s="2"/>
      <c r="M628" s="2"/>
      <c r="N628" s="2"/>
    </row>
    <row r="629" ht="15.75" hidden="1" customHeight="1">
      <c r="A629" s="2" t="s">
        <v>3818</v>
      </c>
      <c r="B629" s="2" t="s">
        <v>3819</v>
      </c>
      <c r="C629" s="2" t="s">
        <v>3820</v>
      </c>
      <c r="D629" s="32" t="s">
        <v>900</v>
      </c>
      <c r="E629" s="4"/>
      <c r="F629" s="5"/>
      <c r="G629" s="25">
        <v>1200.0</v>
      </c>
      <c r="H629" s="2"/>
      <c r="I629" s="2"/>
      <c r="J629" s="2"/>
      <c r="K629" s="2"/>
      <c r="L629" s="2"/>
      <c r="M629" s="2"/>
      <c r="N629" s="2"/>
    </row>
    <row r="630" ht="15.75" hidden="1" customHeight="1">
      <c r="A630" s="22" t="s">
        <v>4036</v>
      </c>
      <c r="B630" s="55" t="s">
        <v>4037</v>
      </c>
      <c r="C630" s="27" t="s">
        <v>3069</v>
      </c>
      <c r="D630" s="32" t="s">
        <v>4038</v>
      </c>
      <c r="E630" s="69">
        <v>0.0</v>
      </c>
      <c r="F630" s="29"/>
      <c r="G630" s="25">
        <v>3980.0</v>
      </c>
      <c r="H630" s="2"/>
      <c r="I630" s="2"/>
      <c r="J630" s="2"/>
      <c r="K630" s="2"/>
      <c r="L630" s="2"/>
      <c r="M630" s="2"/>
      <c r="N630" s="2"/>
    </row>
    <row r="631" ht="15.75" hidden="1" customHeight="1">
      <c r="A631" s="22" t="s">
        <v>4039</v>
      </c>
      <c r="B631" s="55" t="s">
        <v>4040</v>
      </c>
      <c r="C631" s="27" t="s">
        <v>3069</v>
      </c>
      <c r="D631" s="32" t="s">
        <v>4041</v>
      </c>
      <c r="E631" s="69">
        <v>0.0</v>
      </c>
      <c r="F631" s="29"/>
      <c r="G631" s="25">
        <v>2980.0</v>
      </c>
      <c r="H631" s="2"/>
      <c r="I631" s="2"/>
      <c r="J631" s="2"/>
      <c r="K631" s="2"/>
      <c r="L631" s="2"/>
      <c r="M631" s="2"/>
      <c r="N631" s="2"/>
    </row>
    <row r="632" ht="15.75" hidden="1" customHeight="1">
      <c r="A632" s="22" t="s">
        <v>4042</v>
      </c>
      <c r="B632" s="55" t="s">
        <v>4043</v>
      </c>
      <c r="C632" s="27" t="s">
        <v>3069</v>
      </c>
      <c r="D632" s="32" t="s">
        <v>4044</v>
      </c>
      <c r="E632" s="69">
        <v>0.0</v>
      </c>
      <c r="F632" s="29"/>
      <c r="G632" s="25">
        <v>3380.0</v>
      </c>
      <c r="H632" s="2"/>
      <c r="I632" s="2"/>
      <c r="J632" s="2"/>
      <c r="K632" s="2"/>
      <c r="L632" s="2"/>
      <c r="M632" s="2"/>
      <c r="N632" s="2"/>
    </row>
    <row r="633" ht="15.75" hidden="1" customHeight="1">
      <c r="A633" s="22" t="s">
        <v>4045</v>
      </c>
      <c r="B633" s="55" t="s">
        <v>4046</v>
      </c>
      <c r="C633" s="27" t="s">
        <v>3069</v>
      </c>
      <c r="D633" s="32" t="s">
        <v>4047</v>
      </c>
      <c r="E633" s="69">
        <v>0.0</v>
      </c>
      <c r="F633" s="29"/>
      <c r="G633" s="25">
        <v>3100.0</v>
      </c>
      <c r="H633" s="2"/>
      <c r="I633" s="2"/>
      <c r="J633" s="2"/>
      <c r="K633" s="2"/>
      <c r="L633" s="2"/>
      <c r="M633" s="2"/>
      <c r="N633" s="2"/>
    </row>
    <row r="634" ht="15.75" hidden="1" customHeight="1">
      <c r="A634" s="2" t="s">
        <v>4048</v>
      </c>
      <c r="B634" s="2" t="s">
        <v>4049</v>
      </c>
      <c r="C634" s="2" t="s">
        <v>3685</v>
      </c>
      <c r="D634" s="32" t="s">
        <v>4050</v>
      </c>
      <c r="E634" s="69">
        <v>0.0</v>
      </c>
      <c r="F634" s="29"/>
      <c r="G634" s="25">
        <v>2050.0</v>
      </c>
      <c r="H634" s="2"/>
      <c r="I634" s="2"/>
      <c r="J634" s="2"/>
      <c r="K634" s="2"/>
      <c r="L634" s="2"/>
      <c r="M634" s="2"/>
      <c r="N634" s="2"/>
    </row>
    <row r="635" ht="15.75" hidden="1" customHeight="1">
      <c r="A635" s="2" t="s">
        <v>4051</v>
      </c>
      <c r="B635" s="2" t="s">
        <v>4052</v>
      </c>
      <c r="C635" s="2" t="s">
        <v>3685</v>
      </c>
      <c r="D635" s="32" t="s">
        <v>4053</v>
      </c>
      <c r="E635" s="69">
        <v>0.0</v>
      </c>
      <c r="F635" s="29"/>
      <c r="G635" s="25">
        <v>1850.0</v>
      </c>
      <c r="H635" s="2"/>
      <c r="I635" s="2"/>
      <c r="J635" s="2"/>
      <c r="K635" s="2"/>
      <c r="L635" s="2"/>
      <c r="M635" s="2"/>
      <c r="N635" s="2"/>
    </row>
    <row r="636" ht="15.75" hidden="1" customHeight="1">
      <c r="A636" s="22" t="s">
        <v>4054</v>
      </c>
      <c r="B636" s="55" t="s">
        <v>4055</v>
      </c>
      <c r="C636" s="27" t="s">
        <v>4056</v>
      </c>
      <c r="D636" s="32"/>
      <c r="E636" s="4"/>
      <c r="F636" s="5"/>
      <c r="G636" s="25"/>
      <c r="H636" s="2"/>
      <c r="I636" s="2"/>
      <c r="J636" s="2"/>
      <c r="K636" s="2"/>
      <c r="L636" s="2"/>
      <c r="M636" s="2"/>
      <c r="N636" s="2"/>
    </row>
    <row r="637" ht="15.75" hidden="1" customHeight="1">
      <c r="A637" s="22" t="s">
        <v>4057</v>
      </c>
      <c r="B637" s="207" t="s">
        <v>4058</v>
      </c>
      <c r="C637" s="33" t="s">
        <v>4059</v>
      </c>
      <c r="D637" s="28"/>
      <c r="E637" s="69">
        <v>0.0</v>
      </c>
      <c r="F637" s="29"/>
      <c r="G637" s="25">
        <v>9600.0</v>
      </c>
      <c r="H637" s="183"/>
      <c r="I637" s="183"/>
      <c r="J637" s="183"/>
      <c r="K637" s="183"/>
      <c r="L637" s="183"/>
      <c r="M637" s="183"/>
      <c r="N637" s="183"/>
    </row>
    <row r="638" ht="15.75" hidden="1" customHeight="1">
      <c r="A638" s="2" t="s">
        <v>4060</v>
      </c>
      <c r="B638" s="2" t="s">
        <v>3899</v>
      </c>
      <c r="C638" s="33" t="s">
        <v>3900</v>
      </c>
      <c r="D638" s="51" t="s">
        <v>3180</v>
      </c>
      <c r="E638" s="69">
        <v>0.0</v>
      </c>
      <c r="F638" s="29"/>
      <c r="G638" s="25">
        <v>13000.0</v>
      </c>
      <c r="H638" s="183"/>
      <c r="I638" s="183"/>
      <c r="J638" s="183"/>
      <c r="K638" s="183"/>
      <c r="L638" s="183"/>
      <c r="M638" s="183"/>
      <c r="N638" s="183"/>
    </row>
    <row r="639" ht="15.75" hidden="1" customHeight="1">
      <c r="A639" s="2" t="s">
        <v>4061</v>
      </c>
      <c r="B639" s="207" t="s">
        <v>4062</v>
      </c>
      <c r="C639" s="33" t="s">
        <v>4063</v>
      </c>
      <c r="D639" s="51" t="s">
        <v>3180</v>
      </c>
      <c r="E639" s="69">
        <v>0.0</v>
      </c>
      <c r="F639" s="29"/>
      <c r="G639" s="25">
        <v>6700.0</v>
      </c>
      <c r="H639" s="183"/>
      <c r="I639" s="183"/>
      <c r="J639" s="183"/>
      <c r="K639" s="183"/>
      <c r="L639" s="183"/>
      <c r="M639" s="183"/>
      <c r="N639" s="183"/>
    </row>
    <row r="640" ht="15.75" hidden="1" customHeight="1">
      <c r="A640" s="60" t="s">
        <v>4064</v>
      </c>
      <c r="B640" s="187" t="s">
        <v>4065</v>
      </c>
      <c r="C640" s="22" t="s">
        <v>4066</v>
      </c>
      <c r="D640" s="51"/>
      <c r="E640" s="69">
        <v>0.0</v>
      </c>
      <c r="F640" s="29"/>
      <c r="G640" s="25">
        <v>3600.0</v>
      </c>
      <c r="H640" s="2"/>
      <c r="I640" s="2"/>
      <c r="J640" s="2"/>
      <c r="K640" s="2"/>
      <c r="L640" s="2"/>
      <c r="M640" s="2"/>
      <c r="N640" s="2"/>
    </row>
    <row r="641" ht="15.75" hidden="1" customHeight="1">
      <c r="A641" s="55" t="s">
        <v>4067</v>
      </c>
      <c r="B641" s="55" t="s">
        <v>4068</v>
      </c>
      <c r="C641" s="55" t="s">
        <v>4069</v>
      </c>
      <c r="D641" s="51" t="s">
        <v>3329</v>
      </c>
      <c r="E641" s="69">
        <v>0.0</v>
      </c>
      <c r="F641" s="29"/>
      <c r="G641" s="25">
        <v>4990.0</v>
      </c>
      <c r="H641" s="2"/>
      <c r="I641" s="2"/>
      <c r="J641" s="2"/>
      <c r="K641" s="2"/>
      <c r="L641" s="2"/>
      <c r="M641" s="2"/>
      <c r="N641" s="2"/>
    </row>
    <row r="642" ht="15.75" hidden="1" customHeight="1">
      <c r="A642" s="5" t="s">
        <v>4070</v>
      </c>
      <c r="B642" s="55" t="s">
        <v>4071</v>
      </c>
      <c r="C642" s="27" t="s">
        <v>4072</v>
      </c>
      <c r="D642" s="32" t="s">
        <v>4073</v>
      </c>
      <c r="E642" s="69">
        <v>0.0</v>
      </c>
      <c r="F642" s="29"/>
      <c r="G642" s="25">
        <v>4200.0</v>
      </c>
      <c r="H642" s="2"/>
      <c r="I642" s="2"/>
      <c r="J642" s="2"/>
      <c r="K642" s="2"/>
      <c r="L642" s="2"/>
      <c r="M642" s="2"/>
      <c r="N642" s="2"/>
    </row>
    <row r="643" ht="15.75" hidden="1" customHeight="1">
      <c r="A643" s="2" t="s">
        <v>4074</v>
      </c>
      <c r="B643" s="2" t="s">
        <v>4075</v>
      </c>
      <c r="C643" s="2" t="s">
        <v>3754</v>
      </c>
      <c r="D643" s="3" t="s">
        <v>4076</v>
      </c>
      <c r="E643" s="69">
        <v>0.0</v>
      </c>
      <c r="F643" s="29"/>
      <c r="G643" s="163">
        <v>3300.0</v>
      </c>
      <c r="H643" s="2"/>
      <c r="I643" s="2"/>
      <c r="J643" s="2"/>
      <c r="K643" s="2"/>
      <c r="L643" s="2"/>
      <c r="M643" s="2"/>
      <c r="N643" s="2"/>
    </row>
    <row r="644" ht="15.75" hidden="1" customHeight="1">
      <c r="A644" s="2" t="s">
        <v>4077</v>
      </c>
      <c r="B644" s="2" t="s">
        <v>4078</v>
      </c>
      <c r="C644" s="2" t="s">
        <v>4079</v>
      </c>
      <c r="D644" s="3" t="s">
        <v>4080</v>
      </c>
      <c r="E644" s="69">
        <v>0.0</v>
      </c>
      <c r="F644" s="29"/>
      <c r="G644" s="163">
        <v>1200.0</v>
      </c>
      <c r="H644" s="2"/>
      <c r="I644" s="2"/>
      <c r="J644" s="2"/>
      <c r="K644" s="2"/>
      <c r="L644" s="2"/>
      <c r="M644" s="2"/>
      <c r="N644" s="2"/>
    </row>
    <row r="645" ht="15.75" hidden="1" customHeight="1">
      <c r="A645" s="2" t="s">
        <v>4081</v>
      </c>
      <c r="B645" s="2" t="s">
        <v>4082</v>
      </c>
      <c r="C645" s="2" t="s">
        <v>4083</v>
      </c>
      <c r="D645" s="3" t="s">
        <v>483</v>
      </c>
      <c r="E645" s="69">
        <v>0.0</v>
      </c>
      <c r="F645" s="29"/>
      <c r="G645" s="163">
        <v>1450.0</v>
      </c>
      <c r="H645" s="2"/>
      <c r="I645" s="2"/>
      <c r="J645" s="2"/>
      <c r="K645" s="2"/>
      <c r="L645" s="2"/>
      <c r="M645" s="2"/>
      <c r="N645" s="2"/>
    </row>
    <row r="646" ht="15.75" hidden="1" customHeight="1">
      <c r="A646" s="2" t="s">
        <v>4084</v>
      </c>
      <c r="B646" s="2" t="s">
        <v>3847</v>
      </c>
      <c r="C646" s="33" t="s">
        <v>3848</v>
      </c>
      <c r="D646" s="51" t="s">
        <v>3201</v>
      </c>
      <c r="E646" s="69">
        <v>0.0</v>
      </c>
      <c r="F646" s="29"/>
      <c r="G646" s="25">
        <v>12800.0</v>
      </c>
      <c r="H646" s="183"/>
      <c r="I646" s="183"/>
      <c r="J646" s="183"/>
      <c r="K646" s="183"/>
      <c r="L646" s="183"/>
      <c r="M646" s="183"/>
      <c r="N646" s="183"/>
    </row>
    <row r="647" ht="15.75" hidden="1" customHeight="1">
      <c r="A647" s="22" t="s">
        <v>4085</v>
      </c>
      <c r="B647" s="55" t="s">
        <v>4086</v>
      </c>
      <c r="C647" s="27" t="s">
        <v>4087</v>
      </c>
      <c r="D647" s="84" t="s">
        <v>422</v>
      </c>
      <c r="E647" s="69">
        <v>0.0</v>
      </c>
      <c r="F647" s="29"/>
      <c r="G647" s="25">
        <v>36000.0</v>
      </c>
      <c r="H647" s="2"/>
      <c r="I647" s="2"/>
      <c r="J647" s="2"/>
      <c r="K647" s="2"/>
      <c r="L647" s="2"/>
      <c r="M647" s="2"/>
      <c r="N647" s="2"/>
    </row>
    <row r="648" ht="15.75" hidden="1" customHeight="1">
      <c r="A648" s="2" t="s">
        <v>4088</v>
      </c>
      <c r="B648" s="2" t="s">
        <v>3843</v>
      </c>
      <c r="C648" s="2" t="s">
        <v>3844</v>
      </c>
      <c r="D648" s="28"/>
      <c r="E648" s="69">
        <v>0.0</v>
      </c>
      <c r="F648" s="29"/>
      <c r="G648" s="25">
        <v>4800.0</v>
      </c>
      <c r="H648" s="183"/>
      <c r="I648" s="183"/>
      <c r="J648" s="183"/>
      <c r="K648" s="183"/>
      <c r="L648" s="183"/>
      <c r="M648" s="183"/>
      <c r="N648" s="183"/>
    </row>
    <row r="649" ht="15.75" hidden="1" customHeight="1">
      <c r="A649" s="53" t="s">
        <v>4089</v>
      </c>
      <c r="B649" s="55" t="s">
        <v>2338</v>
      </c>
      <c r="C649" s="27" t="s">
        <v>3933</v>
      </c>
      <c r="D649" s="208" t="s">
        <v>4090</v>
      </c>
      <c r="E649" s="69">
        <v>0.0</v>
      </c>
      <c r="F649" s="29"/>
      <c r="G649" s="25">
        <v>13900.0</v>
      </c>
      <c r="H649" s="2"/>
      <c r="I649" s="2"/>
      <c r="J649" s="2"/>
      <c r="K649" s="2"/>
      <c r="L649" s="2"/>
      <c r="M649" s="2"/>
      <c r="N649" s="2"/>
    </row>
    <row r="650" ht="15.75" hidden="1" customHeight="1">
      <c r="A650" s="2" t="s">
        <v>4091</v>
      </c>
      <c r="B650" s="2" t="s">
        <v>3843</v>
      </c>
      <c r="C650" s="2" t="s">
        <v>3844</v>
      </c>
      <c r="D650" s="28"/>
      <c r="E650" s="69">
        <v>0.0</v>
      </c>
      <c r="F650" s="29"/>
      <c r="G650" s="25">
        <v>4800.0</v>
      </c>
      <c r="H650" s="183"/>
      <c r="I650" s="183"/>
      <c r="J650" s="183"/>
      <c r="K650" s="183"/>
      <c r="L650" s="183"/>
      <c r="M650" s="183"/>
      <c r="N650" s="183"/>
    </row>
    <row r="651" ht="15.75" hidden="1" customHeight="1">
      <c r="A651" s="2" t="s">
        <v>4092</v>
      </c>
      <c r="B651" s="2" t="s">
        <v>3843</v>
      </c>
      <c r="C651" s="2" t="s">
        <v>3844</v>
      </c>
      <c r="D651" s="28"/>
      <c r="E651" s="69">
        <v>0.0</v>
      </c>
      <c r="F651" s="29"/>
      <c r="G651" s="25">
        <v>4800.0</v>
      </c>
      <c r="H651" s="183"/>
      <c r="I651" s="183"/>
      <c r="J651" s="183"/>
      <c r="K651" s="183"/>
      <c r="L651" s="183"/>
      <c r="M651" s="183"/>
      <c r="N651" s="183"/>
    </row>
    <row r="652" ht="15.75" hidden="1" customHeight="1">
      <c r="A652" s="2" t="s">
        <v>4093</v>
      </c>
      <c r="B652" s="2" t="s">
        <v>3843</v>
      </c>
      <c r="C652" s="2" t="s">
        <v>3844</v>
      </c>
      <c r="D652" s="28"/>
      <c r="E652" s="69">
        <v>0.0</v>
      </c>
      <c r="F652" s="29"/>
      <c r="G652" s="25">
        <v>5000.0</v>
      </c>
      <c r="H652" s="183"/>
      <c r="I652" s="183"/>
      <c r="J652" s="183"/>
      <c r="K652" s="183"/>
      <c r="L652" s="183"/>
      <c r="M652" s="183"/>
      <c r="N652" s="183"/>
    </row>
    <row r="653" ht="15.75" hidden="1" customHeight="1">
      <c r="A653" s="2" t="s">
        <v>4094</v>
      </c>
      <c r="B653" s="2" t="s">
        <v>3843</v>
      </c>
      <c r="C653" s="2" t="s">
        <v>3844</v>
      </c>
      <c r="D653" s="28"/>
      <c r="E653" s="69">
        <v>0.0</v>
      </c>
      <c r="F653" s="29"/>
      <c r="G653" s="25">
        <v>4800.0</v>
      </c>
      <c r="H653" s="183"/>
      <c r="I653" s="183"/>
      <c r="J653" s="183"/>
      <c r="K653" s="183"/>
      <c r="L653" s="183"/>
      <c r="M653" s="183"/>
      <c r="N653" s="183"/>
    </row>
    <row r="654" ht="15.75" hidden="1" customHeight="1">
      <c r="A654" s="2" t="s">
        <v>4095</v>
      </c>
      <c r="B654" s="2" t="s">
        <v>3899</v>
      </c>
      <c r="C654" s="33" t="s">
        <v>3900</v>
      </c>
      <c r="D654" s="51" t="s">
        <v>3180</v>
      </c>
      <c r="E654" s="69">
        <v>0.0</v>
      </c>
      <c r="F654" s="29"/>
      <c r="G654" s="25">
        <v>13000.0</v>
      </c>
      <c r="H654" s="183"/>
      <c r="I654" s="183"/>
      <c r="J654" s="183"/>
      <c r="K654" s="183"/>
      <c r="L654" s="183"/>
      <c r="M654" s="183"/>
      <c r="N654" s="183"/>
    </row>
    <row r="655" ht="15.75" hidden="1" customHeight="1">
      <c r="A655" s="2" t="s">
        <v>4096</v>
      </c>
      <c r="B655" s="2" t="s">
        <v>3899</v>
      </c>
      <c r="C655" s="33" t="s">
        <v>3900</v>
      </c>
      <c r="D655" s="51" t="s">
        <v>3180</v>
      </c>
      <c r="E655" s="69">
        <v>0.0</v>
      </c>
      <c r="F655" s="29"/>
      <c r="G655" s="25">
        <v>13000.0</v>
      </c>
      <c r="H655" s="183"/>
      <c r="I655" s="183"/>
      <c r="J655" s="183"/>
      <c r="K655" s="183"/>
      <c r="L655" s="183"/>
      <c r="M655" s="183"/>
      <c r="N655" s="183"/>
    </row>
    <row r="656" ht="15.75" hidden="1" customHeight="1">
      <c r="A656" s="53" t="s">
        <v>4097</v>
      </c>
      <c r="B656" s="2" t="s">
        <v>4098</v>
      </c>
      <c r="C656" s="33" t="s">
        <v>4099</v>
      </c>
      <c r="D656" s="208" t="s">
        <v>3206</v>
      </c>
      <c r="E656" s="69">
        <v>0.0</v>
      </c>
      <c r="F656" s="29"/>
      <c r="G656" s="25">
        <v>12200.0</v>
      </c>
      <c r="H656" s="183"/>
      <c r="I656" s="183"/>
      <c r="J656" s="183"/>
      <c r="K656" s="183"/>
      <c r="L656" s="183"/>
      <c r="M656" s="183"/>
      <c r="N656" s="183"/>
    </row>
    <row r="657" ht="15.75" hidden="1" customHeight="1">
      <c r="A657" s="53" t="s">
        <v>4100</v>
      </c>
      <c r="B657" s="2" t="s">
        <v>4098</v>
      </c>
      <c r="C657" s="33" t="s">
        <v>4099</v>
      </c>
      <c r="D657" s="208" t="s">
        <v>3206</v>
      </c>
      <c r="E657" s="69">
        <v>0.0</v>
      </c>
      <c r="F657" s="29"/>
      <c r="G657" s="25">
        <v>12200.0</v>
      </c>
      <c r="H657" s="183"/>
      <c r="I657" s="183"/>
      <c r="J657" s="183"/>
      <c r="K657" s="183"/>
      <c r="L657" s="183"/>
      <c r="M657" s="183"/>
      <c r="N657" s="183"/>
    </row>
    <row r="658" ht="15.75" hidden="1" customHeight="1">
      <c r="A658" s="53" t="s">
        <v>4101</v>
      </c>
      <c r="B658" s="2" t="s">
        <v>4098</v>
      </c>
      <c r="C658" s="33" t="s">
        <v>4099</v>
      </c>
      <c r="D658" s="208" t="s">
        <v>3206</v>
      </c>
      <c r="E658" s="69">
        <v>0.0</v>
      </c>
      <c r="F658" s="29"/>
      <c r="G658" s="25">
        <v>12200.0</v>
      </c>
      <c r="H658" s="183"/>
      <c r="I658" s="183"/>
      <c r="J658" s="183"/>
      <c r="K658" s="183"/>
      <c r="L658" s="183"/>
      <c r="M658" s="183"/>
      <c r="N658" s="183"/>
    </row>
    <row r="659" ht="15.75" hidden="1" customHeight="1">
      <c r="A659" s="53" t="s">
        <v>4102</v>
      </c>
      <c r="B659" s="2" t="s">
        <v>4098</v>
      </c>
      <c r="C659" s="33" t="s">
        <v>4099</v>
      </c>
      <c r="D659" s="208" t="s">
        <v>3206</v>
      </c>
      <c r="E659" s="69">
        <v>0.0</v>
      </c>
      <c r="F659" s="29"/>
      <c r="G659" s="25">
        <v>12200.0</v>
      </c>
      <c r="H659" s="183"/>
      <c r="I659" s="183"/>
      <c r="J659" s="183"/>
      <c r="K659" s="183"/>
      <c r="L659" s="183"/>
      <c r="M659" s="183"/>
      <c r="N659" s="183"/>
    </row>
    <row r="660" ht="15.75" hidden="1" customHeight="1">
      <c r="A660" s="55" t="s">
        <v>4103</v>
      </c>
      <c r="B660" s="55" t="s">
        <v>4104</v>
      </c>
      <c r="C660" s="55" t="s">
        <v>4105</v>
      </c>
      <c r="D660" s="51" t="s">
        <v>3335</v>
      </c>
      <c r="E660" s="69">
        <v>0.0</v>
      </c>
      <c r="F660" s="29"/>
      <c r="G660" s="25">
        <v>5300.0</v>
      </c>
      <c r="H660" s="2"/>
      <c r="I660" s="2"/>
      <c r="J660" s="2"/>
      <c r="K660" s="2"/>
      <c r="L660" s="2"/>
      <c r="M660" s="2"/>
      <c r="N660" s="2"/>
    </row>
    <row r="661" ht="15.75" hidden="1" customHeight="1">
      <c r="A661" s="55" t="s">
        <v>4106</v>
      </c>
      <c r="B661" s="55" t="s">
        <v>4104</v>
      </c>
      <c r="C661" s="55" t="s">
        <v>4105</v>
      </c>
      <c r="D661" s="51" t="s">
        <v>3335</v>
      </c>
      <c r="E661" s="69">
        <v>0.0</v>
      </c>
      <c r="F661" s="29"/>
      <c r="G661" s="25">
        <v>5300.0</v>
      </c>
      <c r="H661" s="2"/>
      <c r="I661" s="2"/>
      <c r="J661" s="2"/>
      <c r="K661" s="2"/>
      <c r="L661" s="2"/>
      <c r="M661" s="2"/>
      <c r="N661" s="2"/>
    </row>
    <row r="662" ht="15.75" hidden="1" customHeight="1">
      <c r="A662" s="55" t="s">
        <v>4107</v>
      </c>
      <c r="B662" s="55" t="s">
        <v>4104</v>
      </c>
      <c r="C662" s="55" t="s">
        <v>4105</v>
      </c>
      <c r="D662" s="51" t="s">
        <v>3335</v>
      </c>
      <c r="E662" s="69">
        <v>0.0</v>
      </c>
      <c r="F662" s="29"/>
      <c r="G662" s="25">
        <v>5300.0</v>
      </c>
      <c r="H662" s="2"/>
      <c r="I662" s="2"/>
      <c r="J662" s="2"/>
      <c r="K662" s="2"/>
      <c r="L662" s="2"/>
      <c r="M662" s="2"/>
      <c r="N662" s="2"/>
    </row>
    <row r="663" ht="15.75" hidden="1" customHeight="1">
      <c r="A663" s="53" t="s">
        <v>4108</v>
      </c>
      <c r="B663" s="55" t="s">
        <v>4109</v>
      </c>
      <c r="C663" s="55" t="s">
        <v>4105</v>
      </c>
      <c r="D663" s="208" t="s">
        <v>4110</v>
      </c>
      <c r="E663" s="69">
        <v>0.0</v>
      </c>
      <c r="F663" s="29"/>
      <c r="G663" s="25">
        <v>5400.0</v>
      </c>
      <c r="H663" s="2"/>
      <c r="I663" s="2"/>
      <c r="J663" s="2"/>
      <c r="K663" s="2"/>
      <c r="L663" s="2"/>
      <c r="M663" s="2"/>
      <c r="N663" s="2"/>
    </row>
    <row r="664" ht="15.75" hidden="1" customHeight="1">
      <c r="A664" s="53" t="s">
        <v>4111</v>
      </c>
      <c r="B664" s="55" t="s">
        <v>4109</v>
      </c>
      <c r="C664" s="55" t="s">
        <v>4105</v>
      </c>
      <c r="D664" s="208" t="s">
        <v>4110</v>
      </c>
      <c r="E664" s="69">
        <v>0.0</v>
      </c>
      <c r="F664" s="29"/>
      <c r="G664" s="25">
        <v>5400.0</v>
      </c>
      <c r="H664" s="2"/>
      <c r="I664" s="2"/>
      <c r="J664" s="2"/>
      <c r="K664" s="2"/>
      <c r="L664" s="2"/>
      <c r="M664" s="2"/>
      <c r="N664" s="2"/>
    </row>
    <row r="665" ht="15.75" hidden="1" customHeight="1">
      <c r="A665" s="2" t="s">
        <v>4112</v>
      </c>
      <c r="B665" s="2" t="s">
        <v>4113</v>
      </c>
      <c r="C665" s="2" t="s">
        <v>4114</v>
      </c>
      <c r="D665" s="32" t="s">
        <v>4115</v>
      </c>
      <c r="E665" s="69">
        <v>0.0</v>
      </c>
      <c r="F665" s="29"/>
      <c r="G665" s="25">
        <v>3500.0</v>
      </c>
      <c r="H665" s="2"/>
      <c r="I665" s="2"/>
      <c r="J665" s="2"/>
      <c r="K665" s="2"/>
      <c r="L665" s="2"/>
      <c r="M665" s="2"/>
      <c r="N665" s="2"/>
    </row>
    <row r="666" ht="15.75" hidden="1" customHeight="1">
      <c r="A666" s="53" t="s">
        <v>4116</v>
      </c>
      <c r="B666" s="53" t="s">
        <v>4117</v>
      </c>
      <c r="C666" s="2" t="s">
        <v>4118</v>
      </c>
      <c r="D666" s="208" t="s">
        <v>4119</v>
      </c>
      <c r="E666" s="69">
        <v>0.0</v>
      </c>
      <c r="F666" s="29"/>
      <c r="G666" s="8" t="s">
        <v>2768</v>
      </c>
      <c r="H666" s="2"/>
      <c r="I666" s="2"/>
      <c r="J666" s="2"/>
      <c r="K666" s="2"/>
      <c r="L666" s="2"/>
      <c r="M666" s="2"/>
      <c r="N666" s="2"/>
    </row>
    <row r="667" ht="15.75" hidden="1" customHeight="1">
      <c r="A667" s="53" t="s">
        <v>4120</v>
      </c>
      <c r="B667" s="53" t="s">
        <v>4121</v>
      </c>
      <c r="C667" s="5" t="s">
        <v>4122</v>
      </c>
      <c r="D667" s="208" t="s">
        <v>342</v>
      </c>
      <c r="E667" s="4">
        <v>0.0</v>
      </c>
      <c r="F667" s="5"/>
      <c r="G667" s="209"/>
      <c r="H667" s="2"/>
      <c r="I667" s="2"/>
      <c r="J667" s="2"/>
      <c r="K667" s="2"/>
      <c r="L667" s="2"/>
      <c r="M667" s="2"/>
      <c r="N667" s="2"/>
    </row>
    <row r="668" ht="15.75" hidden="1" customHeight="1">
      <c r="A668" s="53" t="s">
        <v>4123</v>
      </c>
      <c r="B668" s="53" t="s">
        <v>4124</v>
      </c>
      <c r="C668" s="5" t="s">
        <v>4125</v>
      </c>
      <c r="D668" s="3"/>
      <c r="E668" s="4">
        <v>0.0</v>
      </c>
      <c r="F668" s="5"/>
      <c r="G668" s="163"/>
      <c r="H668" s="2"/>
      <c r="I668" s="2"/>
      <c r="J668" s="2"/>
      <c r="K668" s="2"/>
      <c r="L668" s="2"/>
      <c r="M668" s="2"/>
      <c r="N668" s="2"/>
    </row>
    <row r="669" ht="15.75" hidden="1" customHeight="1">
      <c r="A669" s="53" t="s">
        <v>4126</v>
      </c>
      <c r="B669" s="53" t="s">
        <v>4127</v>
      </c>
      <c r="C669" s="5" t="s">
        <v>4128</v>
      </c>
      <c r="D669" s="3"/>
      <c r="E669" s="4">
        <v>0.0</v>
      </c>
      <c r="F669" s="5"/>
      <c r="G669" s="163"/>
      <c r="H669" s="2"/>
      <c r="I669" s="2"/>
      <c r="J669" s="2"/>
      <c r="K669" s="2"/>
      <c r="L669" s="2"/>
      <c r="M669" s="2"/>
      <c r="N669" s="2"/>
    </row>
    <row r="670" ht="15.75" hidden="1" customHeight="1">
      <c r="A670" s="22" t="s">
        <v>4129</v>
      </c>
      <c r="B670" s="55" t="s">
        <v>4130</v>
      </c>
      <c r="C670" s="27" t="s">
        <v>3956</v>
      </c>
      <c r="D670" s="32" t="s">
        <v>4131</v>
      </c>
      <c r="E670" s="4">
        <v>0.0</v>
      </c>
      <c r="F670" s="5"/>
      <c r="G670" s="25">
        <v>28300.0</v>
      </c>
      <c r="H670" s="2"/>
      <c r="I670" s="2"/>
      <c r="J670" s="2"/>
      <c r="K670" s="2"/>
      <c r="L670" s="2"/>
      <c r="M670" s="2"/>
      <c r="N670" s="2"/>
    </row>
    <row r="671" ht="15.75" hidden="1" customHeight="1">
      <c r="A671" s="22" t="s">
        <v>4129</v>
      </c>
      <c r="B671" s="55" t="s">
        <v>4130</v>
      </c>
      <c r="C671" s="27" t="s">
        <v>3956</v>
      </c>
      <c r="D671" s="32" t="s">
        <v>4131</v>
      </c>
      <c r="E671" s="4">
        <v>0.0</v>
      </c>
      <c r="F671" s="5"/>
      <c r="G671" s="25">
        <v>28300.0</v>
      </c>
      <c r="H671" s="2"/>
      <c r="I671" s="2"/>
      <c r="J671" s="2"/>
      <c r="K671" s="2"/>
      <c r="L671" s="2"/>
      <c r="M671" s="2"/>
      <c r="N671" s="2"/>
    </row>
    <row r="672" ht="15.75" hidden="1" customHeight="1">
      <c r="A672" s="53" t="s">
        <v>4132</v>
      </c>
      <c r="B672" s="53" t="s">
        <v>4133</v>
      </c>
      <c r="C672" s="27" t="s">
        <v>4134</v>
      </c>
      <c r="D672" s="208" t="s">
        <v>4135</v>
      </c>
      <c r="E672" s="4">
        <v>0.0</v>
      </c>
      <c r="F672" s="5"/>
      <c r="G672" s="25">
        <v>28800.0</v>
      </c>
      <c r="H672" s="2"/>
      <c r="I672" s="2"/>
      <c r="J672" s="2"/>
      <c r="K672" s="2"/>
      <c r="L672" s="2"/>
      <c r="M672" s="2"/>
      <c r="N672" s="2"/>
    </row>
    <row r="673" ht="15.75" hidden="1" customHeight="1">
      <c r="A673" s="53" t="s">
        <v>4136</v>
      </c>
      <c r="B673" s="53" t="s">
        <v>4137</v>
      </c>
      <c r="C673" s="27" t="s">
        <v>4138</v>
      </c>
      <c r="D673" s="208" t="s">
        <v>4135</v>
      </c>
      <c r="E673" s="4">
        <v>0.0</v>
      </c>
      <c r="F673" s="5"/>
      <c r="G673" s="25">
        <v>28000.0</v>
      </c>
      <c r="H673" s="2"/>
      <c r="I673" s="2"/>
      <c r="J673" s="2"/>
      <c r="K673" s="2"/>
      <c r="L673" s="2"/>
      <c r="M673" s="2"/>
      <c r="N673" s="2"/>
    </row>
    <row r="674" ht="15.75" hidden="1" customHeight="1">
      <c r="A674" s="53" t="s">
        <v>4139</v>
      </c>
      <c r="B674" s="53" t="s">
        <v>2527</v>
      </c>
      <c r="C674" s="27" t="s">
        <v>4140</v>
      </c>
      <c r="D674" s="208" t="s">
        <v>4141</v>
      </c>
      <c r="E674" s="4">
        <v>0.0</v>
      </c>
      <c r="F674" s="5"/>
      <c r="G674" s="25">
        <v>22000.0</v>
      </c>
      <c r="H674" s="2"/>
      <c r="I674" s="2"/>
      <c r="J674" s="2"/>
      <c r="K674" s="2"/>
      <c r="L674" s="2"/>
      <c r="M674" s="2"/>
      <c r="N674" s="2"/>
    </row>
    <row r="675" ht="15.75" hidden="1" customHeight="1">
      <c r="A675" s="53" t="s">
        <v>4142</v>
      </c>
      <c r="B675" s="53" t="s">
        <v>4143</v>
      </c>
      <c r="C675" s="27" t="s">
        <v>3959</v>
      </c>
      <c r="D675" s="208" t="s">
        <v>4144</v>
      </c>
      <c r="E675" s="4">
        <v>0.0</v>
      </c>
      <c r="F675" s="5"/>
      <c r="G675" s="25">
        <v>16700.0</v>
      </c>
      <c r="H675" s="2"/>
      <c r="I675" s="2"/>
      <c r="J675" s="2"/>
      <c r="K675" s="2"/>
      <c r="L675" s="2"/>
      <c r="M675" s="2"/>
      <c r="N675" s="2"/>
    </row>
    <row r="676" ht="15.75" hidden="1" customHeight="1">
      <c r="A676" s="53" t="s">
        <v>4145</v>
      </c>
      <c r="B676" s="53" t="s">
        <v>4146</v>
      </c>
      <c r="C676" s="27" t="s">
        <v>4147</v>
      </c>
      <c r="D676" s="208" t="s">
        <v>4148</v>
      </c>
      <c r="E676" s="4">
        <v>0.0</v>
      </c>
      <c r="F676" s="5"/>
      <c r="G676" s="25">
        <v>19800.0</v>
      </c>
      <c r="H676" s="2"/>
      <c r="I676" s="2"/>
      <c r="J676" s="2"/>
      <c r="K676" s="2"/>
      <c r="L676" s="2"/>
      <c r="M676" s="2"/>
      <c r="N676" s="2"/>
    </row>
    <row r="677" ht="15.75" hidden="1" customHeight="1">
      <c r="A677" s="53" t="s">
        <v>4149</v>
      </c>
      <c r="B677" s="53" t="s">
        <v>4150</v>
      </c>
      <c r="C677" s="27" t="s">
        <v>4151</v>
      </c>
      <c r="D677" s="208" t="s">
        <v>4148</v>
      </c>
      <c r="E677" s="4">
        <v>0.0</v>
      </c>
      <c r="F677" s="5"/>
      <c r="G677" s="25">
        <v>19800.0</v>
      </c>
      <c r="H677" s="2"/>
      <c r="I677" s="2"/>
      <c r="J677" s="2"/>
      <c r="K677" s="2"/>
      <c r="L677" s="2"/>
      <c r="M677" s="2"/>
      <c r="N677" s="2"/>
    </row>
    <row r="678" ht="15.75" hidden="1" customHeight="1">
      <c r="A678" s="53" t="s">
        <v>4152</v>
      </c>
      <c r="B678" s="53" t="s">
        <v>4150</v>
      </c>
      <c r="C678" s="27" t="s">
        <v>4153</v>
      </c>
      <c r="D678" s="208" t="s">
        <v>4148</v>
      </c>
      <c r="E678" s="4">
        <v>0.0</v>
      </c>
      <c r="F678" s="5"/>
      <c r="G678" s="25">
        <v>20000.0</v>
      </c>
      <c r="H678" s="2"/>
      <c r="I678" s="2"/>
      <c r="J678" s="2"/>
      <c r="K678" s="2"/>
      <c r="L678" s="2"/>
      <c r="M678" s="2"/>
      <c r="N678" s="2"/>
    </row>
    <row r="679" ht="15.75" hidden="1" customHeight="1">
      <c r="A679" s="53" t="s">
        <v>4154</v>
      </c>
      <c r="B679" s="55" t="s">
        <v>4155</v>
      </c>
      <c r="C679" s="22" t="s">
        <v>4156</v>
      </c>
      <c r="D679" s="2"/>
      <c r="E679" s="4">
        <v>0.0</v>
      </c>
      <c r="F679" s="5"/>
      <c r="G679" s="25"/>
      <c r="H679" s="2"/>
      <c r="I679" s="2"/>
      <c r="J679" s="2"/>
      <c r="K679" s="2"/>
      <c r="L679" s="2"/>
      <c r="M679" s="2"/>
      <c r="N679" s="2"/>
    </row>
    <row r="680" ht="15.75" hidden="1" customHeight="1">
      <c r="A680" s="22" t="s">
        <v>4157</v>
      </c>
      <c r="B680" s="55" t="s">
        <v>2577</v>
      </c>
      <c r="C680" s="22" t="s">
        <v>4156</v>
      </c>
      <c r="D680" s="32" t="s">
        <v>4158</v>
      </c>
      <c r="E680" s="4">
        <v>0.0</v>
      </c>
      <c r="F680" s="5"/>
      <c r="G680" s="25">
        <v>24000.0</v>
      </c>
      <c r="H680" s="2"/>
      <c r="I680" s="2"/>
      <c r="J680" s="2"/>
      <c r="K680" s="2"/>
      <c r="L680" s="2"/>
      <c r="M680" s="2"/>
      <c r="N680" s="2"/>
    </row>
    <row r="681" ht="15.75" hidden="1" customHeight="1">
      <c r="A681" s="22" t="s">
        <v>4159</v>
      </c>
      <c r="B681" s="55" t="s">
        <v>4160</v>
      </c>
      <c r="C681" s="22" t="s">
        <v>4156</v>
      </c>
      <c r="D681" s="32" t="s">
        <v>4161</v>
      </c>
      <c r="E681" s="4">
        <v>0.0</v>
      </c>
      <c r="F681" s="5"/>
      <c r="G681" s="25">
        <v>17800.0</v>
      </c>
      <c r="H681" s="2"/>
      <c r="I681" s="2"/>
      <c r="J681" s="2"/>
      <c r="K681" s="2"/>
      <c r="L681" s="2"/>
      <c r="M681" s="2"/>
      <c r="N681" s="2"/>
    </row>
    <row r="682" ht="15.75" hidden="1" customHeight="1">
      <c r="A682" s="22" t="s">
        <v>4162</v>
      </c>
      <c r="B682" s="55" t="s">
        <v>2582</v>
      </c>
      <c r="C682" s="22" t="s">
        <v>4163</v>
      </c>
      <c r="D682" s="208" t="s">
        <v>2583</v>
      </c>
      <c r="E682" s="4">
        <v>0.0</v>
      </c>
      <c r="F682" s="5"/>
      <c r="G682" s="25">
        <v>21800.0</v>
      </c>
      <c r="H682" s="2"/>
      <c r="I682" s="2"/>
      <c r="J682" s="2"/>
      <c r="K682" s="2"/>
      <c r="L682" s="2"/>
      <c r="M682" s="2"/>
      <c r="N682" s="2"/>
    </row>
    <row r="683" ht="15.75" hidden="1" customHeight="1">
      <c r="A683" s="22" t="s">
        <v>4164</v>
      </c>
      <c r="B683" s="55" t="s">
        <v>4165</v>
      </c>
      <c r="C683" s="27" t="s">
        <v>2599</v>
      </c>
      <c r="D683" s="32" t="s">
        <v>4166</v>
      </c>
      <c r="E683" s="4">
        <v>0.0</v>
      </c>
      <c r="F683" s="5"/>
      <c r="G683" s="25">
        <v>12800.0</v>
      </c>
      <c r="H683" s="2"/>
      <c r="I683" s="2"/>
      <c r="J683" s="2"/>
      <c r="K683" s="2"/>
      <c r="L683" s="2"/>
      <c r="M683" s="2"/>
      <c r="N683" s="2"/>
    </row>
    <row r="684" ht="15.75" hidden="1" customHeight="1">
      <c r="A684" s="22" t="s">
        <v>4167</v>
      </c>
      <c r="B684" s="55" t="s">
        <v>4168</v>
      </c>
      <c r="C684" s="27" t="s">
        <v>2599</v>
      </c>
      <c r="D684" s="208" t="s">
        <v>4169</v>
      </c>
      <c r="E684" s="4">
        <v>0.0</v>
      </c>
      <c r="F684" s="5"/>
      <c r="G684" s="25">
        <v>9600.0</v>
      </c>
      <c r="H684" s="2"/>
      <c r="I684" s="2"/>
      <c r="J684" s="2"/>
      <c r="K684" s="2"/>
      <c r="L684" s="2"/>
      <c r="M684" s="2"/>
      <c r="N684" s="2"/>
    </row>
    <row r="685" ht="15.75" hidden="1" customHeight="1">
      <c r="A685" s="22" t="s">
        <v>4170</v>
      </c>
      <c r="B685" s="55" t="s">
        <v>4171</v>
      </c>
      <c r="C685" s="22" t="s">
        <v>4172</v>
      </c>
      <c r="D685" s="32" t="s">
        <v>900</v>
      </c>
      <c r="E685" s="4">
        <v>0.0</v>
      </c>
      <c r="F685" s="5"/>
      <c r="G685" s="25">
        <v>1880.0</v>
      </c>
      <c r="H685" s="2"/>
      <c r="I685" s="2"/>
      <c r="J685" s="2"/>
      <c r="K685" s="2"/>
      <c r="L685" s="2"/>
      <c r="M685" s="2"/>
      <c r="N685" s="2"/>
    </row>
    <row r="686" ht="15.75" hidden="1" customHeight="1">
      <c r="A686" s="2" t="s">
        <v>4173</v>
      </c>
      <c r="B686" s="2" t="s">
        <v>4174</v>
      </c>
      <c r="C686" s="2" t="s">
        <v>4175</v>
      </c>
      <c r="D686" s="32" t="s">
        <v>4176</v>
      </c>
      <c r="E686" s="4">
        <v>0.0</v>
      </c>
      <c r="F686" s="5"/>
      <c r="G686" s="25">
        <v>4600.0</v>
      </c>
      <c r="H686" s="2"/>
      <c r="I686" s="2"/>
      <c r="J686" s="2"/>
      <c r="K686" s="2"/>
      <c r="L686" s="2"/>
      <c r="M686" s="2"/>
      <c r="N686" s="2"/>
    </row>
    <row r="687" ht="15.75" hidden="1" customHeight="1">
      <c r="A687" s="2" t="s">
        <v>4177</v>
      </c>
      <c r="B687" s="2" t="s">
        <v>4178</v>
      </c>
      <c r="C687" s="2" t="s">
        <v>4175</v>
      </c>
      <c r="D687" s="32" t="s">
        <v>4179</v>
      </c>
      <c r="E687" s="4">
        <v>0.0</v>
      </c>
      <c r="F687" s="5"/>
      <c r="G687" s="25">
        <v>4200.0</v>
      </c>
      <c r="H687" s="2"/>
      <c r="I687" s="2"/>
      <c r="J687" s="2"/>
      <c r="K687" s="2"/>
      <c r="L687" s="2"/>
      <c r="M687" s="2"/>
      <c r="N687" s="2"/>
    </row>
    <row r="688" ht="15.75" hidden="1" customHeight="1">
      <c r="A688" s="22" t="s">
        <v>4180</v>
      </c>
      <c r="B688" s="2" t="s">
        <v>4181</v>
      </c>
      <c r="C688" s="2" t="s">
        <v>4019</v>
      </c>
      <c r="D688" s="3" t="s">
        <v>4182</v>
      </c>
      <c r="E688" s="69">
        <v>0.0</v>
      </c>
      <c r="F688" s="29"/>
      <c r="G688" s="25">
        <v>1150.0</v>
      </c>
      <c r="H688" s="2"/>
      <c r="I688" s="2"/>
      <c r="J688" s="2"/>
      <c r="K688" s="2"/>
      <c r="L688" s="2"/>
      <c r="M688" s="2"/>
      <c r="N688" s="2"/>
    </row>
    <row r="689" ht="15.75" hidden="1" customHeight="1">
      <c r="A689" s="22" t="s">
        <v>4183</v>
      </c>
      <c r="B689" s="2" t="s">
        <v>4184</v>
      </c>
      <c r="C689" s="2" t="s">
        <v>4185</v>
      </c>
      <c r="D689" s="3" t="s">
        <v>4186</v>
      </c>
      <c r="E689" s="69">
        <v>0.0</v>
      </c>
      <c r="F689" s="29"/>
      <c r="G689" s="25">
        <v>1300.0</v>
      </c>
      <c r="H689" s="2"/>
      <c r="I689" s="2"/>
      <c r="J689" s="2"/>
      <c r="K689" s="2"/>
      <c r="L689" s="2"/>
      <c r="M689" s="2"/>
      <c r="N689" s="2"/>
    </row>
    <row r="690" ht="15.75" hidden="1" customHeight="1">
      <c r="A690" s="22" t="s">
        <v>4187</v>
      </c>
      <c r="B690" s="53" t="s">
        <v>4188</v>
      </c>
      <c r="C690" s="2" t="s">
        <v>4189</v>
      </c>
      <c r="D690" s="3"/>
      <c r="E690" s="69">
        <v>0.0</v>
      </c>
      <c r="F690" s="29"/>
      <c r="G690" s="31">
        <v>1000.0</v>
      </c>
      <c r="H690" s="2"/>
      <c r="I690" s="2"/>
      <c r="J690" s="2"/>
      <c r="K690" s="2"/>
      <c r="L690" s="2"/>
      <c r="M690" s="2"/>
      <c r="N690" s="2"/>
    </row>
    <row r="691" ht="15.75" hidden="1" customHeight="1">
      <c r="A691" s="38" t="s">
        <v>4190</v>
      </c>
      <c r="B691" s="38" t="s">
        <v>4191</v>
      </c>
      <c r="C691" s="27" t="s">
        <v>3009</v>
      </c>
      <c r="D691" s="32" t="s">
        <v>3923</v>
      </c>
      <c r="E691" s="69">
        <v>0.0</v>
      </c>
      <c r="F691" s="29"/>
      <c r="G691" s="25">
        <v>3500.0</v>
      </c>
      <c r="H691" s="2"/>
      <c r="I691" s="2"/>
      <c r="J691" s="2"/>
      <c r="K691" s="2"/>
      <c r="L691" s="2"/>
      <c r="M691" s="2"/>
      <c r="N691" s="2"/>
    </row>
    <row r="692" ht="15.75" hidden="1" customHeight="1">
      <c r="A692" s="2" t="s">
        <v>4192</v>
      </c>
      <c r="B692" s="2" t="s">
        <v>4193</v>
      </c>
      <c r="C692" s="2" t="s">
        <v>4194</v>
      </c>
      <c r="D692" s="32" t="s">
        <v>4195</v>
      </c>
      <c r="E692" s="69">
        <v>0.0</v>
      </c>
      <c r="F692" s="29"/>
      <c r="G692" s="25">
        <v>1780.0</v>
      </c>
      <c r="H692" s="2"/>
      <c r="I692" s="2"/>
      <c r="J692" s="2"/>
      <c r="K692" s="2"/>
      <c r="L692" s="2"/>
      <c r="M692" s="2"/>
      <c r="N692" s="2"/>
    </row>
    <row r="693" ht="15.75" hidden="1" customHeight="1">
      <c r="A693" s="2" t="s">
        <v>4196</v>
      </c>
      <c r="B693" s="2" t="s">
        <v>4197</v>
      </c>
      <c r="C693" s="2" t="s">
        <v>3649</v>
      </c>
      <c r="D693" s="32" t="s">
        <v>4198</v>
      </c>
      <c r="E693" s="69">
        <v>0.0</v>
      </c>
      <c r="F693" s="29"/>
      <c r="G693" s="25">
        <v>4950.0</v>
      </c>
      <c r="H693" s="2"/>
      <c r="I693" s="2"/>
      <c r="J693" s="2"/>
      <c r="K693" s="2"/>
      <c r="L693" s="2"/>
      <c r="M693" s="2"/>
      <c r="N693" s="2"/>
    </row>
    <row r="694" ht="15.75" hidden="1" customHeight="1">
      <c r="A694" s="22" t="s">
        <v>4199</v>
      </c>
      <c r="B694" s="55" t="s">
        <v>4200</v>
      </c>
      <c r="C694" s="27" t="s">
        <v>3078</v>
      </c>
      <c r="D694" s="32" t="s">
        <v>4201</v>
      </c>
      <c r="E694" s="69">
        <v>0.0</v>
      </c>
      <c r="F694" s="29"/>
      <c r="G694" s="25">
        <v>1600.0</v>
      </c>
      <c r="H694" s="2"/>
      <c r="I694" s="2"/>
      <c r="J694" s="2"/>
      <c r="K694" s="2"/>
      <c r="L694" s="2"/>
      <c r="M694" s="2"/>
      <c r="N694" s="2"/>
    </row>
    <row r="695" ht="15.75" hidden="1" customHeight="1">
      <c r="A695" s="2" t="s">
        <v>4202</v>
      </c>
      <c r="B695" s="2" t="s">
        <v>4203</v>
      </c>
      <c r="C695" s="2" t="s">
        <v>4204</v>
      </c>
      <c r="D695" s="32"/>
      <c r="E695" s="69">
        <v>0.0</v>
      </c>
      <c r="F695" s="29"/>
      <c r="G695" s="25"/>
      <c r="H695" s="2"/>
      <c r="I695" s="2"/>
      <c r="J695" s="2"/>
      <c r="K695" s="2"/>
      <c r="L695" s="2"/>
      <c r="M695" s="2"/>
      <c r="N695" s="2"/>
    </row>
    <row r="696" ht="15.75" hidden="1" customHeight="1">
      <c r="A696" s="2" t="s">
        <v>4205</v>
      </c>
      <c r="B696" s="2" t="s">
        <v>4206</v>
      </c>
      <c r="C696" s="2" t="s">
        <v>4207</v>
      </c>
      <c r="D696" s="208" t="s">
        <v>4208</v>
      </c>
      <c r="E696" s="69">
        <v>0.0</v>
      </c>
      <c r="F696" s="29"/>
      <c r="G696" s="25">
        <v>2150.0</v>
      </c>
      <c r="H696" s="2"/>
      <c r="I696" s="2"/>
      <c r="J696" s="2"/>
      <c r="K696" s="2"/>
      <c r="L696" s="2"/>
      <c r="M696" s="2"/>
      <c r="N696" s="2"/>
    </row>
    <row r="697" ht="15.75" hidden="1" customHeight="1">
      <c r="A697" s="22" t="s">
        <v>4209</v>
      </c>
      <c r="B697" s="53" t="s">
        <v>4210</v>
      </c>
      <c r="C697" s="27" t="s">
        <v>4211</v>
      </c>
      <c r="D697" s="32" t="s">
        <v>3987</v>
      </c>
      <c r="E697" s="4">
        <v>0.0</v>
      </c>
      <c r="F697" s="5"/>
      <c r="G697" s="25">
        <v>1080.0</v>
      </c>
      <c r="H697" s="2"/>
      <c r="I697" s="2"/>
      <c r="J697" s="2"/>
      <c r="K697" s="2"/>
      <c r="L697" s="2"/>
      <c r="M697" s="2"/>
      <c r="N697" s="2"/>
    </row>
    <row r="698" ht="15.75" hidden="1" customHeight="1">
      <c r="A698" s="60" t="s">
        <v>4212</v>
      </c>
      <c r="B698" s="145" t="s">
        <v>4213</v>
      </c>
      <c r="C698" s="22" t="s">
        <v>4214</v>
      </c>
      <c r="D698" s="32"/>
      <c r="E698" s="4">
        <v>0.0</v>
      </c>
      <c r="F698" s="5"/>
      <c r="G698" s="25">
        <v>8800.0</v>
      </c>
      <c r="H698" s="2"/>
      <c r="I698" s="2"/>
      <c r="J698" s="2"/>
      <c r="K698" s="2"/>
      <c r="L698" s="2"/>
      <c r="M698" s="2"/>
      <c r="N698" s="2"/>
    </row>
    <row r="699" ht="15.75" hidden="1" customHeight="1">
      <c r="A699" s="60" t="s">
        <v>4215</v>
      </c>
      <c r="B699" s="145" t="s">
        <v>4216</v>
      </c>
      <c r="C699" s="22" t="s">
        <v>4217</v>
      </c>
      <c r="D699" s="32" t="s">
        <v>1339</v>
      </c>
      <c r="E699" s="4">
        <v>0.0</v>
      </c>
      <c r="F699" s="5"/>
      <c r="G699" s="25">
        <v>7800.0</v>
      </c>
      <c r="H699" s="2"/>
      <c r="I699" s="2"/>
      <c r="J699" s="2"/>
      <c r="K699" s="2"/>
      <c r="L699" s="2"/>
      <c r="M699" s="2"/>
      <c r="N699" s="2"/>
    </row>
    <row r="700" ht="15.75" hidden="1" customHeight="1">
      <c r="A700" s="60" t="s">
        <v>4218</v>
      </c>
      <c r="B700" s="145" t="s">
        <v>4219</v>
      </c>
      <c r="C700" s="22" t="s">
        <v>4220</v>
      </c>
      <c r="D700" s="32" t="s">
        <v>3963</v>
      </c>
      <c r="E700" s="4">
        <v>0.0</v>
      </c>
      <c r="F700" s="5"/>
      <c r="G700" s="25">
        <v>3300.0</v>
      </c>
      <c r="H700" s="2"/>
      <c r="I700" s="2"/>
      <c r="J700" s="2"/>
      <c r="K700" s="2"/>
      <c r="L700" s="2"/>
      <c r="M700" s="2"/>
      <c r="N700" s="2"/>
    </row>
    <row r="701" ht="15.75" hidden="1" customHeight="1">
      <c r="A701" s="53" t="s">
        <v>4221</v>
      </c>
      <c r="B701" s="2" t="s">
        <v>4222</v>
      </c>
      <c r="C701" s="33" t="s">
        <v>4223</v>
      </c>
      <c r="D701" s="208" t="s">
        <v>1015</v>
      </c>
      <c r="E701" s="69">
        <v>0.0</v>
      </c>
      <c r="F701" s="29"/>
      <c r="G701" s="25">
        <v>13500.0</v>
      </c>
      <c r="H701" s="183"/>
      <c r="I701" s="183"/>
      <c r="J701" s="183"/>
      <c r="K701" s="183"/>
      <c r="L701" s="183"/>
      <c r="M701" s="183"/>
      <c r="N701" s="183"/>
    </row>
    <row r="702" ht="15.75" hidden="1" customHeight="1">
      <c r="A702" s="53" t="s">
        <v>3213</v>
      </c>
      <c r="B702" s="2" t="s">
        <v>4222</v>
      </c>
      <c r="C702" s="33" t="s">
        <v>4223</v>
      </c>
      <c r="D702" s="208" t="s">
        <v>1015</v>
      </c>
      <c r="E702" s="69">
        <v>0.0</v>
      </c>
      <c r="F702" s="29"/>
      <c r="G702" s="25">
        <v>13500.0</v>
      </c>
      <c r="H702" s="183"/>
      <c r="I702" s="183"/>
      <c r="J702" s="183"/>
      <c r="K702" s="183"/>
      <c r="L702" s="183"/>
      <c r="M702" s="183"/>
      <c r="N702" s="183"/>
    </row>
    <row r="703" ht="15.75" hidden="1" customHeight="1">
      <c r="A703" s="53" t="s">
        <v>3211</v>
      </c>
      <c r="B703" s="2" t="s">
        <v>4222</v>
      </c>
      <c r="C703" s="33" t="s">
        <v>4223</v>
      </c>
      <c r="D703" s="208" t="s">
        <v>1015</v>
      </c>
      <c r="E703" s="69">
        <v>0.0</v>
      </c>
      <c r="F703" s="29"/>
      <c r="G703" s="25">
        <v>13500.0</v>
      </c>
      <c r="H703" s="183"/>
      <c r="I703" s="183"/>
      <c r="J703" s="183"/>
      <c r="K703" s="183"/>
      <c r="L703" s="183"/>
      <c r="M703" s="183"/>
      <c r="N703" s="183"/>
    </row>
    <row r="704" ht="15.75" hidden="1" customHeight="1">
      <c r="A704" s="2" t="s">
        <v>4224</v>
      </c>
      <c r="B704" s="2" t="s">
        <v>4225</v>
      </c>
      <c r="C704" s="2" t="s">
        <v>3844</v>
      </c>
      <c r="D704" s="28"/>
      <c r="E704" s="69">
        <v>0.0</v>
      </c>
      <c r="F704" s="29"/>
      <c r="G704" s="25">
        <v>4800.0</v>
      </c>
      <c r="H704" s="183"/>
      <c r="I704" s="183"/>
      <c r="J704" s="183"/>
      <c r="K704" s="183"/>
      <c r="L704" s="183"/>
      <c r="M704" s="183"/>
      <c r="N704" s="183"/>
    </row>
    <row r="705" ht="15.75" hidden="1" customHeight="1">
      <c r="A705" s="55" t="s">
        <v>4226</v>
      </c>
      <c r="B705" s="55" t="s">
        <v>4227</v>
      </c>
      <c r="C705" s="55" t="s">
        <v>4228</v>
      </c>
      <c r="D705" s="51" t="s">
        <v>3201</v>
      </c>
      <c r="E705" s="69">
        <v>0.0</v>
      </c>
      <c r="F705" s="29"/>
      <c r="G705" s="25">
        <v>4500.0</v>
      </c>
      <c r="H705" s="2"/>
      <c r="I705" s="2"/>
      <c r="J705" s="2"/>
      <c r="K705" s="2"/>
      <c r="L705" s="2"/>
      <c r="M705" s="2"/>
      <c r="N705" s="2"/>
    </row>
    <row r="706" ht="15.75" hidden="1" customHeight="1">
      <c r="A706" s="53" t="s">
        <v>4229</v>
      </c>
      <c r="B706" s="53" t="s">
        <v>4230</v>
      </c>
      <c r="C706" s="5" t="s">
        <v>4231</v>
      </c>
      <c r="D706" s="3"/>
      <c r="E706" s="4">
        <v>0.0</v>
      </c>
      <c r="F706" s="5"/>
      <c r="G706" s="163"/>
      <c r="H706" s="2"/>
      <c r="I706" s="2"/>
      <c r="J706" s="2"/>
      <c r="K706" s="2"/>
      <c r="L706" s="2"/>
      <c r="M706" s="2"/>
      <c r="N706" s="2"/>
    </row>
    <row r="707" ht="15.75" hidden="1" customHeight="1">
      <c r="A707" s="22" t="s">
        <v>4232</v>
      </c>
      <c r="B707" s="2" t="s">
        <v>4233</v>
      </c>
      <c r="C707" s="27" t="s">
        <v>2623</v>
      </c>
      <c r="D707" s="208" t="s">
        <v>4234</v>
      </c>
      <c r="E707" s="4">
        <v>0.0</v>
      </c>
      <c r="F707" s="5"/>
      <c r="G707" s="25">
        <v>6700.0</v>
      </c>
      <c r="H707" s="2"/>
      <c r="I707" s="2"/>
      <c r="J707" s="2"/>
      <c r="K707" s="2"/>
      <c r="L707" s="2"/>
      <c r="M707" s="2"/>
      <c r="N707" s="2"/>
    </row>
    <row r="708" ht="15.75" hidden="1" customHeight="1">
      <c r="A708" s="22" t="s">
        <v>4235</v>
      </c>
      <c r="B708" s="55" t="s">
        <v>4236</v>
      </c>
      <c r="C708" s="27" t="s">
        <v>2641</v>
      </c>
      <c r="D708" s="208" t="s">
        <v>4237</v>
      </c>
      <c r="E708" s="4">
        <v>0.0</v>
      </c>
      <c r="F708" s="5"/>
      <c r="G708" s="25">
        <v>7400.0</v>
      </c>
      <c r="H708" s="2"/>
      <c r="I708" s="2"/>
      <c r="J708" s="2"/>
      <c r="K708" s="2"/>
      <c r="L708" s="2"/>
      <c r="M708" s="2"/>
      <c r="N708" s="2"/>
    </row>
    <row r="709" ht="15.75" hidden="1" customHeight="1">
      <c r="A709" s="22" t="s">
        <v>4238</v>
      </c>
      <c r="B709" s="55" t="s">
        <v>4239</v>
      </c>
      <c r="C709" s="22" t="s">
        <v>4240</v>
      </c>
      <c r="D709" s="51" t="s">
        <v>4241</v>
      </c>
      <c r="E709" s="69">
        <v>0.0</v>
      </c>
      <c r="F709" s="29"/>
      <c r="G709" s="25">
        <v>5300.0</v>
      </c>
      <c r="H709" s="55"/>
      <c r="I709" s="55"/>
      <c r="J709" s="55"/>
      <c r="K709" s="55"/>
      <c r="L709" s="55"/>
      <c r="M709" s="55"/>
      <c r="N709" s="55"/>
    </row>
    <row r="710" ht="15.75" hidden="1" customHeight="1">
      <c r="A710" s="22" t="s">
        <v>4242</v>
      </c>
      <c r="B710" s="55" t="s">
        <v>4243</v>
      </c>
      <c r="C710" s="22" t="s">
        <v>4240</v>
      </c>
      <c r="D710" s="208" t="s">
        <v>4244</v>
      </c>
      <c r="E710" s="69">
        <v>0.0</v>
      </c>
      <c r="F710" s="29"/>
      <c r="G710" s="25">
        <v>5300.0</v>
      </c>
      <c r="H710" s="55"/>
      <c r="I710" s="55"/>
      <c r="J710" s="55"/>
      <c r="K710" s="55"/>
      <c r="L710" s="55"/>
      <c r="M710" s="55"/>
      <c r="N710" s="55"/>
    </row>
    <row r="711" ht="15.75" hidden="1" customHeight="1">
      <c r="A711" s="22" t="s">
        <v>4245</v>
      </c>
      <c r="B711" s="55" t="s">
        <v>4246</v>
      </c>
      <c r="C711" s="22" t="s">
        <v>2664</v>
      </c>
      <c r="D711" s="32" t="s">
        <v>2734</v>
      </c>
      <c r="E711" s="4">
        <v>0.0</v>
      </c>
      <c r="F711" s="5"/>
      <c r="G711" s="25">
        <v>8380.0</v>
      </c>
      <c r="H711" s="2"/>
      <c r="I711" s="2"/>
      <c r="J711" s="2"/>
      <c r="K711" s="2"/>
      <c r="L711" s="2"/>
      <c r="M711" s="2"/>
      <c r="N711" s="2"/>
    </row>
    <row r="712" ht="15.75" hidden="1" customHeight="1">
      <c r="A712" s="22" t="s">
        <v>4247</v>
      </c>
      <c r="B712" s="55" t="s">
        <v>4248</v>
      </c>
      <c r="C712" s="27" t="s">
        <v>2683</v>
      </c>
      <c r="D712" s="32"/>
      <c r="E712" s="69">
        <v>0.0</v>
      </c>
      <c r="F712" s="29"/>
      <c r="G712" s="25">
        <v>1800.0</v>
      </c>
      <c r="H712" s="2"/>
      <c r="I712" s="2"/>
      <c r="J712" s="2"/>
      <c r="K712" s="2"/>
      <c r="L712" s="2"/>
      <c r="M712" s="2"/>
      <c r="N712" s="2"/>
    </row>
    <row r="713" ht="15.75" hidden="1" customHeight="1">
      <c r="A713" s="22" t="s">
        <v>4249</v>
      </c>
      <c r="B713" s="2" t="s">
        <v>3802</v>
      </c>
      <c r="C713" s="2" t="s">
        <v>4250</v>
      </c>
      <c r="D713" s="32" t="s">
        <v>3464</v>
      </c>
      <c r="E713" s="4">
        <v>0.0</v>
      </c>
      <c r="F713" s="5"/>
      <c r="G713" s="25">
        <v>2500.0</v>
      </c>
      <c r="H713" s="2"/>
      <c r="I713" s="2"/>
      <c r="J713" s="2"/>
      <c r="K713" s="2"/>
      <c r="L713" s="2"/>
      <c r="M713" s="2"/>
      <c r="N713" s="2"/>
    </row>
    <row r="714" ht="15.75" hidden="1" customHeight="1">
      <c r="A714" s="2" t="s">
        <v>4251</v>
      </c>
      <c r="B714" s="2" t="s">
        <v>3713</v>
      </c>
      <c r="C714" s="2" t="s">
        <v>3714</v>
      </c>
      <c r="D714" s="32" t="s">
        <v>3876</v>
      </c>
      <c r="E714" s="4">
        <v>0.0</v>
      </c>
      <c r="F714" s="5"/>
      <c r="G714" s="25">
        <v>2280.0</v>
      </c>
      <c r="H714" s="2"/>
      <c r="I714" s="2"/>
      <c r="J714" s="2"/>
      <c r="K714" s="2"/>
      <c r="L714" s="2"/>
      <c r="M714" s="2"/>
      <c r="N714" s="2"/>
    </row>
    <row r="715" ht="15.75" hidden="1" customHeight="1">
      <c r="A715" s="2" t="s">
        <v>4252</v>
      </c>
      <c r="B715" s="2" t="s">
        <v>4253</v>
      </c>
      <c r="C715" s="5" t="s">
        <v>4254</v>
      </c>
      <c r="D715" s="208" t="s">
        <v>2762</v>
      </c>
      <c r="E715" s="4">
        <v>0.0</v>
      </c>
      <c r="F715" s="5"/>
      <c r="G715" s="25">
        <v>9100.0</v>
      </c>
      <c r="H715" s="2"/>
      <c r="I715" s="2"/>
      <c r="J715" s="2"/>
      <c r="K715" s="2"/>
      <c r="L715" s="2"/>
      <c r="M715" s="2"/>
      <c r="N715" s="2"/>
    </row>
    <row r="716" ht="15.75" hidden="1" customHeight="1">
      <c r="A716" s="174" t="s">
        <v>4255</v>
      </c>
      <c r="B716" s="174" t="s">
        <v>4256</v>
      </c>
      <c r="C716" s="174" t="s">
        <v>3986</v>
      </c>
      <c r="D716" s="170" t="s">
        <v>2768</v>
      </c>
      <c r="E716" s="181">
        <v>0.0</v>
      </c>
      <c r="F716" s="182"/>
      <c r="G716" s="173"/>
      <c r="H716" s="174"/>
      <c r="I716" s="174"/>
      <c r="J716" s="174"/>
      <c r="K716" s="174"/>
      <c r="L716" s="174"/>
      <c r="M716" s="174"/>
      <c r="N716" s="174"/>
    </row>
    <row r="717" ht="15.75" hidden="1" customHeight="1">
      <c r="A717" s="2" t="s">
        <v>4257</v>
      </c>
      <c r="B717" s="2" t="s">
        <v>4258</v>
      </c>
      <c r="C717" s="2" t="s">
        <v>3571</v>
      </c>
      <c r="D717" s="32" t="s">
        <v>4259</v>
      </c>
      <c r="E717" s="4">
        <v>0.0</v>
      </c>
      <c r="F717" s="5"/>
      <c r="G717" s="25">
        <v>1800.0</v>
      </c>
      <c r="H717" s="2"/>
      <c r="I717" s="2"/>
      <c r="J717" s="2"/>
      <c r="K717" s="2"/>
      <c r="L717" s="2"/>
      <c r="M717" s="2"/>
      <c r="N717" s="2"/>
    </row>
    <row r="718" ht="15.75" hidden="1" customHeight="1">
      <c r="A718" s="22" t="s">
        <v>4260</v>
      </c>
      <c r="B718" s="2" t="s">
        <v>4261</v>
      </c>
      <c r="C718" s="2" t="s">
        <v>3751</v>
      </c>
      <c r="D718" s="3"/>
      <c r="E718" s="69">
        <v>0.0</v>
      </c>
      <c r="F718" s="29"/>
      <c r="G718" s="25">
        <v>1250.0</v>
      </c>
      <c r="H718" s="2"/>
      <c r="I718" s="2"/>
      <c r="J718" s="2"/>
      <c r="K718" s="2"/>
      <c r="L718" s="2"/>
      <c r="M718" s="2"/>
      <c r="N718" s="2"/>
    </row>
    <row r="719" ht="15.75" hidden="1" customHeight="1">
      <c r="A719" s="22" t="s">
        <v>4262</v>
      </c>
      <c r="B719" s="55" t="s">
        <v>4263</v>
      </c>
      <c r="C719" s="27" t="s">
        <v>4264</v>
      </c>
      <c r="D719" s="32" t="s">
        <v>434</v>
      </c>
      <c r="E719" s="4">
        <v>0.0</v>
      </c>
      <c r="F719" s="5"/>
      <c r="G719" s="25">
        <v>2680.0</v>
      </c>
      <c r="H719" s="2"/>
      <c r="I719" s="2"/>
      <c r="J719" s="2"/>
      <c r="K719" s="2"/>
      <c r="L719" s="2"/>
      <c r="M719" s="2"/>
      <c r="N719" s="2"/>
    </row>
    <row r="720" ht="15.75" hidden="1" customHeight="1">
      <c r="A720" s="60" t="s">
        <v>4265</v>
      </c>
      <c r="B720" s="145" t="s">
        <v>4266</v>
      </c>
      <c r="C720" s="22" t="s">
        <v>4267</v>
      </c>
      <c r="D720" s="32"/>
      <c r="E720" s="4">
        <v>0.0</v>
      </c>
      <c r="F720" s="5"/>
      <c r="G720" s="25">
        <v>1980.0</v>
      </c>
      <c r="H720" s="2"/>
      <c r="I720" s="2"/>
      <c r="J720" s="2"/>
      <c r="K720" s="2"/>
      <c r="L720" s="2"/>
      <c r="M720" s="2"/>
      <c r="N720" s="2"/>
    </row>
    <row r="721" ht="15.75" hidden="1" customHeight="1">
      <c r="A721" s="2" t="s">
        <v>4268</v>
      </c>
      <c r="B721" s="2" t="s">
        <v>3843</v>
      </c>
      <c r="C721" s="2" t="s">
        <v>3844</v>
      </c>
      <c r="D721" s="28"/>
      <c r="E721" s="69">
        <v>0.0</v>
      </c>
      <c r="F721" s="29"/>
      <c r="G721" s="25">
        <v>5600.0</v>
      </c>
      <c r="H721" s="183"/>
      <c r="I721" s="183"/>
      <c r="J721" s="183"/>
      <c r="K721" s="183"/>
      <c r="L721" s="183"/>
      <c r="M721" s="183"/>
      <c r="N721" s="183"/>
    </row>
    <row r="722" ht="15.75" hidden="1" customHeight="1">
      <c r="A722" s="60" t="s">
        <v>4269</v>
      </c>
      <c r="B722" s="187" t="s">
        <v>4270</v>
      </c>
      <c r="C722" s="22" t="s">
        <v>4271</v>
      </c>
      <c r="D722" s="51" t="s">
        <v>4272</v>
      </c>
      <c r="E722" s="69">
        <v>0.0</v>
      </c>
      <c r="F722" s="29"/>
      <c r="G722" s="25">
        <v>9000.0</v>
      </c>
      <c r="H722" s="55"/>
      <c r="I722" s="55"/>
      <c r="J722" s="55"/>
      <c r="K722" s="55"/>
      <c r="L722" s="55"/>
      <c r="M722" s="55"/>
      <c r="N722" s="55"/>
    </row>
    <row r="723" ht="15.75" hidden="1" customHeight="1">
      <c r="A723" s="55" t="s">
        <v>4273</v>
      </c>
      <c r="B723" s="55" t="s">
        <v>4274</v>
      </c>
      <c r="C723" s="55" t="s">
        <v>4105</v>
      </c>
      <c r="D723" s="51" t="s">
        <v>1339</v>
      </c>
      <c r="E723" s="69">
        <v>0.0</v>
      </c>
      <c r="F723" s="29"/>
      <c r="G723" s="25">
        <v>4280.0</v>
      </c>
      <c r="H723" s="55"/>
      <c r="I723" s="55"/>
      <c r="J723" s="55"/>
      <c r="K723" s="55"/>
      <c r="L723" s="55"/>
      <c r="M723" s="55"/>
      <c r="N723" s="55"/>
    </row>
    <row r="724" ht="15.75" hidden="1" customHeight="1">
      <c r="A724" s="2" t="s">
        <v>4275</v>
      </c>
      <c r="B724" s="2" t="s">
        <v>4276</v>
      </c>
      <c r="C724" s="2" t="s">
        <v>4277</v>
      </c>
      <c r="D724" s="3"/>
      <c r="E724" s="4">
        <v>0.0</v>
      </c>
      <c r="F724" s="5"/>
      <c r="G724" s="31">
        <v>880.0</v>
      </c>
      <c r="H724" s="2"/>
      <c r="I724" s="2"/>
      <c r="J724" s="2"/>
      <c r="K724" s="2"/>
      <c r="L724" s="2"/>
      <c r="M724" s="2"/>
      <c r="N724" s="2"/>
    </row>
    <row r="725" ht="15.75" hidden="1" customHeight="1">
      <c r="A725" s="53" t="s">
        <v>4278</v>
      </c>
      <c r="B725" s="30" t="s">
        <v>4279</v>
      </c>
      <c r="C725" s="27" t="s">
        <v>4280</v>
      </c>
      <c r="D725" s="208" t="s">
        <v>4281</v>
      </c>
      <c r="E725" s="4">
        <v>0.0</v>
      </c>
      <c r="F725" s="5"/>
      <c r="G725" s="25">
        <v>2800.0</v>
      </c>
      <c r="H725" s="2"/>
      <c r="I725" s="2"/>
      <c r="J725" s="2"/>
      <c r="K725" s="2"/>
      <c r="L725" s="2"/>
      <c r="M725" s="2"/>
      <c r="N725" s="2"/>
    </row>
    <row r="726" ht="15.75" customHeight="1">
      <c r="A726" s="53" t="s">
        <v>4282</v>
      </c>
      <c r="B726" s="30" t="s">
        <v>4279</v>
      </c>
      <c r="C726" s="27" t="s">
        <v>4280</v>
      </c>
      <c r="D726" s="208"/>
      <c r="E726" s="4">
        <v>12.0</v>
      </c>
      <c r="F726" s="5"/>
      <c r="G726" s="25">
        <v>2800.0</v>
      </c>
      <c r="H726" s="2"/>
      <c r="I726" s="2"/>
      <c r="J726" s="2"/>
      <c r="K726" s="2"/>
      <c r="L726" s="2"/>
      <c r="M726" s="2"/>
      <c r="N726" s="2"/>
    </row>
    <row r="727" ht="15.75" hidden="1" customHeight="1">
      <c r="A727" s="53" t="s">
        <v>4283</v>
      </c>
      <c r="B727" s="53" t="s">
        <v>4284</v>
      </c>
      <c r="C727" s="2" t="s">
        <v>4285</v>
      </c>
      <c r="D727" s="208" t="s">
        <v>4286</v>
      </c>
      <c r="E727" s="69">
        <v>0.0</v>
      </c>
      <c r="F727" s="29"/>
      <c r="G727" s="25">
        <v>1500.0</v>
      </c>
      <c r="H727" s="2"/>
      <c r="I727" s="2"/>
      <c r="J727" s="2"/>
      <c r="K727" s="2"/>
      <c r="L727" s="2"/>
      <c r="M727" s="2"/>
      <c r="N727" s="2"/>
    </row>
    <row r="728" ht="15.75" hidden="1" customHeight="1">
      <c r="A728" s="53" t="s">
        <v>4287</v>
      </c>
      <c r="B728" s="53" t="s">
        <v>4288</v>
      </c>
      <c r="C728" s="27" t="s">
        <v>4289</v>
      </c>
      <c r="D728" s="208" t="s">
        <v>4290</v>
      </c>
      <c r="E728" s="4">
        <v>0.0</v>
      </c>
      <c r="F728" s="5"/>
      <c r="G728" s="25">
        <v>23500.0</v>
      </c>
      <c r="H728" s="2"/>
      <c r="I728" s="2"/>
      <c r="J728" s="2"/>
      <c r="K728" s="2"/>
      <c r="L728" s="2"/>
      <c r="M728" s="2"/>
      <c r="N728" s="2"/>
    </row>
    <row r="729" ht="15.75" hidden="1" customHeight="1">
      <c r="A729" s="53" t="s">
        <v>4291</v>
      </c>
      <c r="B729" s="53" t="s">
        <v>4288</v>
      </c>
      <c r="C729" s="27" t="s">
        <v>4292</v>
      </c>
      <c r="D729" s="208" t="s">
        <v>4290</v>
      </c>
      <c r="E729" s="4">
        <v>0.0</v>
      </c>
      <c r="F729" s="5"/>
      <c r="G729" s="25">
        <v>23500.0</v>
      </c>
      <c r="H729" s="2"/>
      <c r="I729" s="2"/>
      <c r="J729" s="2"/>
      <c r="K729" s="2"/>
      <c r="L729" s="2"/>
      <c r="M729" s="2"/>
      <c r="N729" s="2"/>
    </row>
    <row r="730" ht="15.75" hidden="1" customHeight="1">
      <c r="A730" s="22" t="s">
        <v>4293</v>
      </c>
      <c r="B730" s="55" t="s">
        <v>4294</v>
      </c>
      <c r="C730" s="27" t="s">
        <v>2599</v>
      </c>
      <c r="D730" s="32" t="s">
        <v>2616</v>
      </c>
      <c r="E730" s="4">
        <v>0.0</v>
      </c>
      <c r="F730" s="5"/>
      <c r="G730" s="25">
        <v>9880.0</v>
      </c>
      <c r="H730" s="2"/>
      <c r="I730" s="2"/>
      <c r="J730" s="2"/>
      <c r="K730" s="2"/>
      <c r="L730" s="2"/>
      <c r="M730" s="2"/>
      <c r="N730" s="2"/>
    </row>
    <row r="731" ht="15.75" hidden="1" customHeight="1">
      <c r="A731" s="22" t="s">
        <v>4295</v>
      </c>
      <c r="B731" s="55" t="s">
        <v>4296</v>
      </c>
      <c r="C731" s="27" t="s">
        <v>3707</v>
      </c>
      <c r="D731" s="32" t="s">
        <v>4297</v>
      </c>
      <c r="E731" s="69">
        <v>0.0</v>
      </c>
      <c r="F731" s="29"/>
      <c r="G731" s="25">
        <v>4000.0</v>
      </c>
      <c r="H731" s="2"/>
      <c r="I731" s="2"/>
      <c r="J731" s="2"/>
      <c r="K731" s="2"/>
      <c r="L731" s="2"/>
      <c r="M731" s="2"/>
      <c r="N731" s="2"/>
    </row>
    <row r="732" ht="15.75" hidden="1" customHeight="1">
      <c r="A732" s="2" t="s">
        <v>4298</v>
      </c>
      <c r="B732" s="2" t="s">
        <v>4299</v>
      </c>
      <c r="C732" s="2" t="s">
        <v>3714</v>
      </c>
      <c r="D732" s="208" t="s">
        <v>4300</v>
      </c>
      <c r="E732" s="4">
        <v>0.0</v>
      </c>
      <c r="F732" s="5"/>
      <c r="G732" s="25">
        <v>2680.0</v>
      </c>
      <c r="H732" s="2"/>
      <c r="I732" s="2"/>
      <c r="J732" s="2"/>
      <c r="K732" s="2"/>
      <c r="L732" s="2"/>
      <c r="M732" s="2"/>
      <c r="N732" s="2"/>
    </row>
    <row r="733" ht="15.75" hidden="1" customHeight="1">
      <c r="A733" s="2" t="s">
        <v>4301</v>
      </c>
      <c r="B733" s="2" t="s">
        <v>4302</v>
      </c>
      <c r="C733" s="5" t="s">
        <v>4303</v>
      </c>
      <c r="D733" s="208" t="s">
        <v>2751</v>
      </c>
      <c r="E733" s="4">
        <v>0.0</v>
      </c>
      <c r="F733" s="5"/>
      <c r="G733" s="25">
        <v>5700.0</v>
      </c>
      <c r="H733" s="2"/>
      <c r="I733" s="2"/>
      <c r="J733" s="2"/>
      <c r="K733" s="2"/>
      <c r="L733" s="2"/>
      <c r="M733" s="2"/>
      <c r="N733" s="2"/>
    </row>
    <row r="734" ht="15.75" hidden="1" customHeight="1">
      <c r="A734" s="2" t="s">
        <v>4304</v>
      </c>
      <c r="B734" s="60" t="s">
        <v>4305</v>
      </c>
      <c r="C734" s="2" t="s">
        <v>4306</v>
      </c>
      <c r="D734" s="162" t="s">
        <v>2502</v>
      </c>
      <c r="E734" s="4">
        <v>0.0</v>
      </c>
      <c r="F734" s="5"/>
      <c r="G734" s="25">
        <v>7300.0</v>
      </c>
      <c r="H734" s="2"/>
      <c r="I734" s="2"/>
      <c r="J734" s="2"/>
      <c r="K734" s="2"/>
      <c r="L734" s="2"/>
      <c r="M734" s="2"/>
      <c r="N734" s="2"/>
    </row>
    <row r="735" ht="15.75" hidden="1" customHeight="1">
      <c r="A735" s="22" t="s">
        <v>4307</v>
      </c>
      <c r="B735" s="55" t="s">
        <v>4308</v>
      </c>
      <c r="C735" s="22" t="s">
        <v>4309</v>
      </c>
      <c r="D735" s="32" t="s">
        <v>4310</v>
      </c>
      <c r="E735" s="4">
        <v>0.0</v>
      </c>
      <c r="F735" s="5"/>
      <c r="G735" s="25">
        <v>1680.0</v>
      </c>
      <c r="H735" s="2"/>
      <c r="I735" s="2"/>
      <c r="J735" s="2"/>
      <c r="K735" s="2"/>
      <c r="L735" s="2"/>
      <c r="M735" s="2"/>
      <c r="N735" s="2"/>
    </row>
    <row r="736" ht="15.75" hidden="1" customHeight="1">
      <c r="A736" s="22" t="s">
        <v>4311</v>
      </c>
      <c r="B736" s="2" t="s">
        <v>4312</v>
      </c>
      <c r="C736" s="2" t="s">
        <v>4313</v>
      </c>
      <c r="D736" s="3" t="s">
        <v>4182</v>
      </c>
      <c r="E736" s="4">
        <v>0.0</v>
      </c>
      <c r="F736" s="5"/>
      <c r="G736" s="163">
        <v>1650.0</v>
      </c>
      <c r="H736" s="2"/>
      <c r="I736" s="2"/>
      <c r="J736" s="2"/>
      <c r="K736" s="2"/>
      <c r="L736" s="2"/>
      <c r="M736" s="2"/>
      <c r="N736" s="2"/>
    </row>
    <row r="737" ht="15.75" hidden="1" customHeight="1">
      <c r="A737" s="22" t="s">
        <v>4314</v>
      </c>
      <c r="B737" s="2" t="s">
        <v>4315</v>
      </c>
      <c r="C737" s="2" t="s">
        <v>4313</v>
      </c>
      <c r="D737" s="3" t="s">
        <v>4316</v>
      </c>
      <c r="E737" s="4">
        <v>0.0</v>
      </c>
      <c r="F737" s="5"/>
      <c r="G737" s="163">
        <v>1850.0</v>
      </c>
      <c r="H737" s="2"/>
      <c r="I737" s="2"/>
      <c r="J737" s="2"/>
      <c r="K737" s="2"/>
      <c r="L737" s="2"/>
      <c r="M737" s="2"/>
      <c r="N737" s="2"/>
    </row>
    <row r="738" ht="15.75" hidden="1" customHeight="1">
      <c r="A738" s="2" t="s">
        <v>4317</v>
      </c>
      <c r="B738" s="164" t="s">
        <v>4318</v>
      </c>
      <c r="C738" s="2" t="s">
        <v>3597</v>
      </c>
      <c r="D738" s="162" t="s">
        <v>1105</v>
      </c>
      <c r="E738" s="4">
        <v>0.0</v>
      </c>
      <c r="F738" s="5"/>
      <c r="G738" s="25">
        <v>4360.0</v>
      </c>
      <c r="H738" s="2"/>
      <c r="I738" s="2"/>
      <c r="J738" s="2"/>
      <c r="K738" s="2"/>
      <c r="L738" s="2"/>
      <c r="M738" s="2"/>
      <c r="N738" s="2"/>
    </row>
    <row r="739" ht="15.75" hidden="1" customHeight="1">
      <c r="A739" s="22" t="s">
        <v>4319</v>
      </c>
      <c r="B739" s="55" t="s">
        <v>4320</v>
      </c>
      <c r="C739" s="27" t="s">
        <v>3719</v>
      </c>
      <c r="D739" s="32" t="s">
        <v>4321</v>
      </c>
      <c r="E739" s="4">
        <v>0.0</v>
      </c>
      <c r="F739" s="5"/>
      <c r="G739" s="25">
        <v>10500.0</v>
      </c>
      <c r="H739" s="2"/>
      <c r="I739" s="2"/>
      <c r="J739" s="2"/>
      <c r="K739" s="2"/>
      <c r="L739" s="2"/>
      <c r="M739" s="2"/>
      <c r="N739" s="2"/>
    </row>
    <row r="740" ht="15.75" hidden="1" customHeight="1">
      <c r="A740" s="22" t="s">
        <v>4322</v>
      </c>
      <c r="B740" s="55" t="s">
        <v>4323</v>
      </c>
      <c r="C740" s="27" t="s">
        <v>4324</v>
      </c>
      <c r="D740" s="32" t="s">
        <v>1312</v>
      </c>
      <c r="E740" s="4">
        <v>0.0</v>
      </c>
      <c r="F740" s="5"/>
      <c r="G740" s="25">
        <v>8800.0</v>
      </c>
      <c r="H740" s="2"/>
      <c r="I740" s="2"/>
      <c r="J740" s="2"/>
      <c r="K740" s="2"/>
      <c r="L740" s="2"/>
      <c r="M740" s="2"/>
      <c r="N740" s="2"/>
    </row>
    <row r="741" ht="15.75" hidden="1" customHeight="1">
      <c r="A741" s="38" t="s">
        <v>4325</v>
      </c>
      <c r="B741" s="139" t="s">
        <v>4326</v>
      </c>
      <c r="C741" s="27" t="s">
        <v>4327</v>
      </c>
      <c r="D741" s="32" t="s">
        <v>2925</v>
      </c>
      <c r="E741" s="4">
        <v>0.0</v>
      </c>
      <c r="F741" s="5"/>
      <c r="G741" s="25">
        <v>8200.0</v>
      </c>
      <c r="H741" s="2"/>
      <c r="I741" s="2"/>
      <c r="J741" s="2"/>
      <c r="K741" s="2"/>
      <c r="L741" s="2"/>
      <c r="M741" s="2"/>
      <c r="N741" s="2"/>
    </row>
    <row r="742" ht="15.75" hidden="1" customHeight="1">
      <c r="A742" s="2" t="s">
        <v>4328</v>
      </c>
      <c r="B742" s="2" t="s">
        <v>4329</v>
      </c>
      <c r="C742" s="2" t="s">
        <v>4175</v>
      </c>
      <c r="D742" s="32" t="s">
        <v>2928</v>
      </c>
      <c r="E742" s="4">
        <v>0.0</v>
      </c>
      <c r="F742" s="5"/>
      <c r="G742" s="25">
        <v>9000.0</v>
      </c>
      <c r="H742" s="2"/>
      <c r="I742" s="2"/>
      <c r="J742" s="2"/>
      <c r="K742" s="2"/>
      <c r="L742" s="2"/>
      <c r="M742" s="2"/>
      <c r="N742" s="2"/>
    </row>
    <row r="743" ht="15.75" hidden="1" customHeight="1">
      <c r="A743" s="2" t="s">
        <v>4330</v>
      </c>
      <c r="B743" s="2" t="s">
        <v>4331</v>
      </c>
      <c r="C743" s="2" t="s">
        <v>4332</v>
      </c>
      <c r="D743" s="32"/>
      <c r="E743" s="4">
        <v>0.0</v>
      </c>
      <c r="F743" s="5"/>
      <c r="G743" s="25">
        <v>1280.0</v>
      </c>
      <c r="H743" s="2"/>
      <c r="I743" s="2"/>
      <c r="J743" s="2"/>
      <c r="K743" s="2"/>
      <c r="L743" s="2"/>
      <c r="M743" s="2"/>
      <c r="N743" s="2"/>
    </row>
    <row r="744" ht="15.75" hidden="1" customHeight="1">
      <c r="A744" s="22" t="s">
        <v>4333</v>
      </c>
      <c r="B744" s="53" t="s">
        <v>4334</v>
      </c>
      <c r="C744" s="2" t="s">
        <v>4335</v>
      </c>
      <c r="D744" s="3" t="s">
        <v>2816</v>
      </c>
      <c r="E744" s="69">
        <v>0.0</v>
      </c>
      <c r="F744" s="29"/>
      <c r="G744" s="31">
        <v>2900.0</v>
      </c>
      <c r="H744" s="2"/>
      <c r="I744" s="2"/>
      <c r="J744" s="2"/>
      <c r="K744" s="2"/>
      <c r="L744" s="2"/>
      <c r="M744" s="2"/>
      <c r="N744" s="2"/>
    </row>
    <row r="745" ht="15.75" hidden="1" customHeight="1">
      <c r="A745" s="38" t="s">
        <v>4336</v>
      </c>
      <c r="B745" s="139" t="s">
        <v>4337</v>
      </c>
      <c r="C745" s="27" t="s">
        <v>3009</v>
      </c>
      <c r="D745" s="32" t="s">
        <v>2724</v>
      </c>
      <c r="E745" s="69">
        <v>0.0</v>
      </c>
      <c r="F745" s="29"/>
      <c r="G745" s="25">
        <v>3400.0</v>
      </c>
      <c r="H745" s="2"/>
      <c r="I745" s="2"/>
      <c r="J745" s="2"/>
      <c r="K745" s="2"/>
      <c r="L745" s="2"/>
      <c r="M745" s="2"/>
      <c r="N745" s="2"/>
    </row>
    <row r="746" ht="15.75" hidden="1" customHeight="1">
      <c r="A746" s="2" t="s">
        <v>4338</v>
      </c>
      <c r="B746" s="2" t="s">
        <v>4339</v>
      </c>
      <c r="C746" s="2" t="s">
        <v>4340</v>
      </c>
      <c r="D746" s="32" t="s">
        <v>4341</v>
      </c>
      <c r="E746" s="69">
        <v>0.0</v>
      </c>
      <c r="F746" s="29"/>
      <c r="G746" s="25">
        <v>4200.0</v>
      </c>
      <c r="H746" s="2"/>
      <c r="I746" s="2"/>
      <c r="J746" s="2"/>
      <c r="K746" s="2"/>
      <c r="L746" s="2"/>
      <c r="M746" s="2"/>
      <c r="N746" s="2"/>
    </row>
    <row r="747" ht="15.75" hidden="1" customHeight="1">
      <c r="A747" s="2" t="s">
        <v>4342</v>
      </c>
      <c r="B747" s="55" t="s">
        <v>4343</v>
      </c>
      <c r="C747" s="27" t="s">
        <v>4344</v>
      </c>
      <c r="D747" s="32" t="s">
        <v>2881</v>
      </c>
      <c r="E747" s="69">
        <v>0.0</v>
      </c>
      <c r="F747" s="29"/>
      <c r="G747" s="25"/>
      <c r="H747" s="2"/>
      <c r="I747" s="2"/>
      <c r="J747" s="2"/>
      <c r="K747" s="2"/>
      <c r="L747" s="2"/>
      <c r="M747" s="2"/>
      <c r="N747" s="2"/>
    </row>
    <row r="748" ht="15.75" hidden="1" customHeight="1">
      <c r="A748" s="2" t="s">
        <v>4345</v>
      </c>
      <c r="B748" s="55" t="s">
        <v>4343</v>
      </c>
      <c r="C748" s="27" t="s">
        <v>4344</v>
      </c>
      <c r="D748" s="32" t="s">
        <v>2881</v>
      </c>
      <c r="E748" s="69">
        <v>0.0</v>
      </c>
      <c r="F748" s="29"/>
      <c r="G748" s="25"/>
      <c r="H748" s="2"/>
      <c r="I748" s="2"/>
      <c r="J748" s="2"/>
      <c r="K748" s="2"/>
      <c r="L748" s="2"/>
      <c r="M748" s="2"/>
      <c r="N748" s="2"/>
    </row>
    <row r="749" ht="15.75" hidden="1" customHeight="1">
      <c r="A749" s="2" t="s">
        <v>4346</v>
      </c>
      <c r="B749" s="2" t="s">
        <v>4347</v>
      </c>
      <c r="C749" s="2" t="s">
        <v>4348</v>
      </c>
      <c r="D749" s="208" t="s">
        <v>4349</v>
      </c>
      <c r="E749" s="69">
        <v>0.0</v>
      </c>
      <c r="F749" s="29"/>
      <c r="G749" s="25">
        <v>1850.0</v>
      </c>
      <c r="H749" s="2"/>
      <c r="I749" s="2"/>
      <c r="J749" s="2"/>
      <c r="K749" s="2"/>
      <c r="L749" s="2"/>
      <c r="M749" s="2"/>
      <c r="N749" s="2"/>
    </row>
    <row r="750" ht="15.75" hidden="1" customHeight="1">
      <c r="A750" s="2" t="s">
        <v>4350</v>
      </c>
      <c r="B750" s="2" t="s">
        <v>4347</v>
      </c>
      <c r="C750" s="2" t="s">
        <v>4351</v>
      </c>
      <c r="D750" s="208" t="s">
        <v>4349</v>
      </c>
      <c r="E750" s="69">
        <v>0.0</v>
      </c>
      <c r="F750" s="29"/>
      <c r="G750" s="25">
        <v>2100.0</v>
      </c>
      <c r="H750" s="2"/>
      <c r="I750" s="2"/>
      <c r="J750" s="2"/>
      <c r="K750" s="2"/>
      <c r="L750" s="2"/>
      <c r="M750" s="2"/>
      <c r="N750" s="2"/>
    </row>
    <row r="751" ht="15.75" hidden="1" customHeight="1">
      <c r="A751" s="2" t="s">
        <v>4352</v>
      </c>
      <c r="B751" s="2" t="s">
        <v>4353</v>
      </c>
      <c r="C751" s="2" t="s">
        <v>4354</v>
      </c>
      <c r="D751" s="208" t="s">
        <v>1128</v>
      </c>
      <c r="E751" s="69">
        <v>0.0</v>
      </c>
      <c r="F751" s="29"/>
      <c r="G751" s="25">
        <v>2360.0</v>
      </c>
      <c r="H751" s="2"/>
      <c r="I751" s="2"/>
      <c r="J751" s="2"/>
      <c r="K751" s="2"/>
      <c r="L751" s="2"/>
      <c r="M751" s="2"/>
      <c r="N751" s="2"/>
    </row>
    <row r="752" ht="15.75" hidden="1" customHeight="1">
      <c r="A752" s="22" t="s">
        <v>4355</v>
      </c>
      <c r="B752" s="53" t="s">
        <v>4356</v>
      </c>
      <c r="C752" s="27" t="s">
        <v>4357</v>
      </c>
      <c r="D752" s="208" t="s">
        <v>3137</v>
      </c>
      <c r="E752" s="4">
        <v>0.0</v>
      </c>
      <c r="F752" s="5"/>
      <c r="G752" s="25">
        <v>600.0</v>
      </c>
      <c r="H752" s="144" t="s">
        <v>4358</v>
      </c>
      <c r="I752" s="2"/>
      <c r="J752" s="2"/>
      <c r="K752" s="2"/>
      <c r="L752" s="2"/>
      <c r="M752" s="2"/>
      <c r="N752" s="2"/>
    </row>
    <row r="753" ht="15.75" hidden="1" customHeight="1">
      <c r="A753" s="2" t="s">
        <v>4359</v>
      </c>
      <c r="B753" s="2" t="s">
        <v>4360</v>
      </c>
      <c r="C753" s="2" t="s">
        <v>4361</v>
      </c>
      <c r="D753" s="32" t="s">
        <v>900</v>
      </c>
      <c r="E753" s="4">
        <v>0.0</v>
      </c>
      <c r="F753" s="5"/>
      <c r="G753" s="25">
        <v>1150.0</v>
      </c>
      <c r="H753" s="2"/>
      <c r="I753" s="2"/>
      <c r="J753" s="2"/>
      <c r="K753" s="2"/>
      <c r="L753" s="2"/>
      <c r="M753" s="2"/>
      <c r="N753" s="2"/>
    </row>
    <row r="754" ht="15.75" hidden="1" customHeight="1">
      <c r="A754" s="27" t="s">
        <v>4362</v>
      </c>
      <c r="B754" s="55" t="s">
        <v>4363</v>
      </c>
      <c r="C754" s="27" t="s">
        <v>4364</v>
      </c>
      <c r="D754" s="32" t="s">
        <v>4365</v>
      </c>
      <c r="E754" s="4">
        <v>0.0</v>
      </c>
      <c r="F754" s="5"/>
      <c r="G754" s="25"/>
      <c r="H754" s="2"/>
      <c r="I754" s="2"/>
      <c r="J754" s="2"/>
      <c r="K754" s="2"/>
      <c r="L754" s="2"/>
      <c r="M754" s="2"/>
      <c r="N754" s="2"/>
    </row>
    <row r="755" ht="15.75" hidden="1" customHeight="1">
      <c r="A755" s="53" t="s">
        <v>3208</v>
      </c>
      <c r="B755" s="2" t="s">
        <v>4222</v>
      </c>
      <c r="C755" s="33" t="s">
        <v>4223</v>
      </c>
      <c r="D755" s="208" t="s">
        <v>1015</v>
      </c>
      <c r="E755" s="69">
        <v>0.0</v>
      </c>
      <c r="F755" s="29"/>
      <c r="G755" s="25">
        <v>13500.0</v>
      </c>
      <c r="H755" s="183"/>
      <c r="I755" s="183"/>
      <c r="J755" s="183"/>
      <c r="K755" s="183"/>
      <c r="L755" s="183"/>
      <c r="M755" s="183"/>
      <c r="N755" s="183"/>
    </row>
    <row r="756" ht="15.75" hidden="1" customHeight="1">
      <c r="A756" s="187" t="s">
        <v>3217</v>
      </c>
      <c r="B756" s="29" t="s">
        <v>4366</v>
      </c>
      <c r="C756" s="33" t="s">
        <v>4367</v>
      </c>
      <c r="D756" s="51" t="s">
        <v>3184</v>
      </c>
      <c r="E756" s="69"/>
      <c r="F756" s="29"/>
      <c r="G756" s="25">
        <v>13200.0</v>
      </c>
      <c r="H756" s="183"/>
      <c r="I756" s="183"/>
      <c r="J756" s="183"/>
      <c r="K756" s="183"/>
      <c r="L756" s="183"/>
      <c r="M756" s="183"/>
      <c r="N756" s="183"/>
    </row>
    <row r="757" ht="15.75" hidden="1" customHeight="1">
      <c r="A757" s="187" t="s">
        <v>4368</v>
      </c>
      <c r="B757" s="29" t="s">
        <v>4366</v>
      </c>
      <c r="C757" s="33" t="s">
        <v>4367</v>
      </c>
      <c r="D757" s="51" t="s">
        <v>3184</v>
      </c>
      <c r="E757" s="69"/>
      <c r="F757" s="29"/>
      <c r="G757" s="25">
        <v>13200.0</v>
      </c>
      <c r="H757" s="183"/>
      <c r="I757" s="183"/>
      <c r="J757" s="183"/>
      <c r="K757" s="183"/>
      <c r="L757" s="183"/>
      <c r="M757" s="183"/>
      <c r="N757" s="183"/>
    </row>
    <row r="758" ht="15.75" hidden="1" customHeight="1">
      <c r="A758" s="53" t="s">
        <v>4369</v>
      </c>
      <c r="B758" s="2" t="s">
        <v>4370</v>
      </c>
      <c r="C758" s="33" t="s">
        <v>4371</v>
      </c>
      <c r="D758" s="208" t="s">
        <v>3206</v>
      </c>
      <c r="E758" s="69">
        <v>0.0</v>
      </c>
      <c r="F758" s="29"/>
      <c r="G758" s="25">
        <v>6900.0</v>
      </c>
      <c r="H758" s="183"/>
      <c r="I758" s="183"/>
      <c r="J758" s="183"/>
      <c r="K758" s="183"/>
      <c r="L758" s="183"/>
      <c r="M758" s="183"/>
      <c r="N758" s="183"/>
    </row>
    <row r="759" ht="15.75" hidden="1" customHeight="1">
      <c r="A759" s="2" t="s">
        <v>4372</v>
      </c>
      <c r="B759" s="2" t="s">
        <v>3843</v>
      </c>
      <c r="C759" s="2" t="s">
        <v>3844</v>
      </c>
      <c r="D759" s="28"/>
      <c r="E759" s="69">
        <v>0.0</v>
      </c>
      <c r="F759" s="29"/>
      <c r="G759" s="25">
        <v>5600.0</v>
      </c>
      <c r="H759" s="183"/>
      <c r="I759" s="183"/>
      <c r="J759" s="183"/>
      <c r="K759" s="183"/>
      <c r="L759" s="183"/>
      <c r="M759" s="183"/>
      <c r="N759" s="183"/>
    </row>
    <row r="760" ht="15.75" hidden="1" customHeight="1">
      <c r="A760" s="53" t="s">
        <v>4373</v>
      </c>
      <c r="B760" s="53" t="s">
        <v>4374</v>
      </c>
      <c r="C760" s="55" t="s">
        <v>4375</v>
      </c>
      <c r="D760" s="208" t="s">
        <v>4376</v>
      </c>
      <c r="E760" s="69">
        <v>0.0</v>
      </c>
      <c r="F760" s="29"/>
      <c r="G760" s="25">
        <v>2000.0</v>
      </c>
      <c r="H760" s="2"/>
      <c r="I760" s="2"/>
      <c r="J760" s="2"/>
      <c r="K760" s="2"/>
      <c r="L760" s="2"/>
      <c r="M760" s="2"/>
      <c r="N760" s="2"/>
    </row>
    <row r="761" ht="15.75" hidden="1" customHeight="1">
      <c r="A761" s="53" t="s">
        <v>4377</v>
      </c>
      <c r="B761" s="53" t="s">
        <v>4374</v>
      </c>
      <c r="C761" s="55" t="s">
        <v>4375</v>
      </c>
      <c r="D761" s="208" t="s">
        <v>4376</v>
      </c>
      <c r="E761" s="69">
        <v>0.0</v>
      </c>
      <c r="F761" s="29"/>
      <c r="G761" s="25">
        <v>2000.0</v>
      </c>
      <c r="H761" s="2"/>
      <c r="I761" s="2"/>
      <c r="J761" s="2"/>
      <c r="K761" s="2"/>
      <c r="L761" s="2"/>
      <c r="M761" s="2"/>
      <c r="N761" s="2"/>
    </row>
    <row r="762" ht="15.75" hidden="1" customHeight="1">
      <c r="A762" s="53" t="s">
        <v>4378</v>
      </c>
      <c r="B762" s="53" t="s">
        <v>4374</v>
      </c>
      <c r="C762" s="55" t="s">
        <v>4375</v>
      </c>
      <c r="D762" s="208" t="s">
        <v>4376</v>
      </c>
      <c r="E762" s="69">
        <v>0.0</v>
      </c>
      <c r="F762" s="29"/>
      <c r="G762" s="25">
        <v>2000.0</v>
      </c>
      <c r="H762" s="2"/>
      <c r="I762" s="2"/>
      <c r="J762" s="2"/>
      <c r="K762" s="2"/>
      <c r="L762" s="2"/>
      <c r="M762" s="2"/>
      <c r="N762" s="2"/>
    </row>
    <row r="763" ht="15.75" hidden="1" customHeight="1">
      <c r="A763" s="53" t="s">
        <v>4378</v>
      </c>
      <c r="B763" s="53" t="s">
        <v>4374</v>
      </c>
      <c r="C763" s="55" t="s">
        <v>4375</v>
      </c>
      <c r="D763" s="208" t="s">
        <v>4376</v>
      </c>
      <c r="E763" s="69">
        <v>0.0</v>
      </c>
      <c r="F763" s="29"/>
      <c r="G763" s="25">
        <v>2000.0</v>
      </c>
      <c r="H763" s="2"/>
      <c r="I763" s="2"/>
      <c r="J763" s="2"/>
      <c r="K763" s="2"/>
      <c r="L763" s="2"/>
      <c r="M763" s="2"/>
      <c r="N763" s="2"/>
    </row>
    <row r="764" ht="15.75" hidden="1" customHeight="1">
      <c r="A764" s="53" t="s">
        <v>4379</v>
      </c>
      <c r="B764" s="53" t="s">
        <v>4374</v>
      </c>
      <c r="C764" s="55" t="s">
        <v>4375</v>
      </c>
      <c r="D764" s="208" t="s">
        <v>4376</v>
      </c>
      <c r="E764" s="69">
        <v>0.0</v>
      </c>
      <c r="F764" s="29"/>
      <c r="G764" s="25">
        <v>2000.0</v>
      </c>
      <c r="H764" s="2"/>
      <c r="I764" s="2"/>
      <c r="J764" s="2"/>
      <c r="K764" s="2"/>
      <c r="L764" s="2"/>
      <c r="M764" s="2"/>
      <c r="N764" s="2"/>
    </row>
    <row r="765" ht="15.75" hidden="1" customHeight="1">
      <c r="A765" s="210" t="s">
        <v>4380</v>
      </c>
      <c r="B765" s="53" t="s">
        <v>4381</v>
      </c>
      <c r="C765" s="5" t="s">
        <v>4382</v>
      </c>
      <c r="D765" s="208" t="s">
        <v>4383</v>
      </c>
      <c r="E765" s="4">
        <v>0.0</v>
      </c>
      <c r="F765" s="5"/>
      <c r="G765" s="163">
        <v>3150.0</v>
      </c>
      <c r="H765" s="2"/>
      <c r="I765" s="2"/>
      <c r="J765" s="2"/>
      <c r="K765" s="2"/>
      <c r="L765" s="2"/>
      <c r="M765" s="2"/>
      <c r="N765" s="2"/>
    </row>
    <row r="766" ht="15.75" hidden="1" customHeight="1">
      <c r="A766" s="22" t="s">
        <v>4384</v>
      </c>
      <c r="B766" s="55" t="s">
        <v>4385</v>
      </c>
      <c r="C766" s="27" t="s">
        <v>3463</v>
      </c>
      <c r="D766" s="32" t="s">
        <v>4321</v>
      </c>
      <c r="E766" s="69">
        <v>0.0</v>
      </c>
      <c r="F766" s="29"/>
      <c r="G766" s="25">
        <v>3000.0</v>
      </c>
      <c r="H766" s="2"/>
      <c r="I766" s="2"/>
      <c r="J766" s="2"/>
      <c r="K766" s="2"/>
      <c r="L766" s="2"/>
      <c r="M766" s="2"/>
      <c r="N766" s="2"/>
    </row>
    <row r="767" ht="15.75" hidden="1" customHeight="1">
      <c r="A767" s="22" t="s">
        <v>4386</v>
      </c>
      <c r="B767" s="55" t="s">
        <v>4387</v>
      </c>
      <c r="C767" s="27" t="s">
        <v>4388</v>
      </c>
      <c r="D767" s="32" t="s">
        <v>1349</v>
      </c>
      <c r="E767" s="69">
        <v>0.0</v>
      </c>
      <c r="F767" s="29"/>
      <c r="G767" s="25">
        <v>1950.0</v>
      </c>
      <c r="H767" s="2"/>
      <c r="I767" s="2"/>
      <c r="J767" s="2"/>
      <c r="K767" s="2"/>
      <c r="L767" s="2"/>
      <c r="M767" s="2"/>
      <c r="N767" s="2"/>
    </row>
    <row r="768" ht="15.75" hidden="1" customHeight="1">
      <c r="A768" s="22" t="s">
        <v>4389</v>
      </c>
      <c r="B768" s="22" t="s">
        <v>4390</v>
      </c>
      <c r="C768" s="27" t="s">
        <v>4391</v>
      </c>
      <c r="D768" s="32" t="s">
        <v>4392</v>
      </c>
      <c r="E768" s="69">
        <v>0.0</v>
      </c>
      <c r="F768" s="29"/>
      <c r="G768" s="25">
        <v>3860.0</v>
      </c>
      <c r="H768" s="2"/>
      <c r="I768" s="2"/>
      <c r="J768" s="2"/>
      <c r="K768" s="2"/>
      <c r="L768" s="2"/>
      <c r="M768" s="2"/>
      <c r="N768" s="2"/>
    </row>
    <row r="769" ht="15.75" hidden="1" customHeight="1">
      <c r="A769" s="5" t="s">
        <v>4393</v>
      </c>
      <c r="B769" s="5" t="s">
        <v>4394</v>
      </c>
      <c r="C769" s="5" t="s">
        <v>4395</v>
      </c>
      <c r="D769" s="62"/>
      <c r="E769" s="4"/>
      <c r="F769" s="5"/>
      <c r="G769" s="25">
        <v>2800.0</v>
      </c>
      <c r="H769" s="2"/>
      <c r="I769" s="2"/>
      <c r="J769" s="2"/>
      <c r="K769" s="2"/>
      <c r="L769" s="2"/>
      <c r="M769" s="2"/>
      <c r="N769" s="2"/>
    </row>
    <row r="770" ht="15.75" hidden="1" customHeight="1">
      <c r="A770" s="53" t="s">
        <v>4396</v>
      </c>
      <c r="B770" s="60" t="s">
        <v>4397</v>
      </c>
      <c r="C770" s="27" t="s">
        <v>4398</v>
      </c>
      <c r="D770" s="162" t="s">
        <v>2915</v>
      </c>
      <c r="E770" s="69"/>
      <c r="F770" s="29"/>
      <c r="G770" s="25">
        <v>4600.0</v>
      </c>
      <c r="H770" s="2"/>
      <c r="I770" s="2"/>
      <c r="J770" s="2"/>
      <c r="K770" s="2"/>
      <c r="L770" s="2"/>
      <c r="M770" s="2"/>
      <c r="N770" s="2"/>
    </row>
    <row r="771" ht="15.75" hidden="1" customHeight="1">
      <c r="A771" s="22" t="s">
        <v>4399</v>
      </c>
      <c r="B771" s="22" t="s">
        <v>2675</v>
      </c>
      <c r="C771" s="27" t="s">
        <v>2676</v>
      </c>
      <c r="D771" s="32" t="s">
        <v>2677</v>
      </c>
      <c r="E771" s="69"/>
      <c r="F771" s="29"/>
      <c r="G771" s="25">
        <v>3800.0</v>
      </c>
      <c r="H771" s="2"/>
      <c r="I771" s="2"/>
      <c r="J771" s="2"/>
      <c r="K771" s="2"/>
      <c r="L771" s="2"/>
      <c r="M771" s="2"/>
      <c r="N771" s="2"/>
    </row>
    <row r="772" ht="15.75" hidden="1" customHeight="1">
      <c r="A772" s="22" t="s">
        <v>4400</v>
      </c>
      <c r="B772" s="22" t="s">
        <v>4401</v>
      </c>
      <c r="C772" s="27" t="s">
        <v>2676</v>
      </c>
      <c r="D772" s="62" t="s">
        <v>4402</v>
      </c>
      <c r="E772" s="69"/>
      <c r="F772" s="29"/>
      <c r="G772" s="25">
        <v>4200.0</v>
      </c>
      <c r="H772" s="2"/>
      <c r="I772" s="2"/>
      <c r="J772" s="2"/>
      <c r="K772" s="2"/>
      <c r="L772" s="2"/>
      <c r="M772" s="2"/>
      <c r="N772" s="2"/>
    </row>
    <row r="773" ht="15.75" hidden="1" customHeight="1">
      <c r="A773" s="22" t="s">
        <v>4403</v>
      </c>
      <c r="B773" s="60" t="s">
        <v>4404</v>
      </c>
      <c r="C773" s="27" t="s">
        <v>2676</v>
      </c>
      <c r="D773" s="162" t="s">
        <v>4405</v>
      </c>
      <c r="E773" s="69"/>
      <c r="F773" s="29"/>
      <c r="G773" s="25">
        <v>3870.0</v>
      </c>
      <c r="H773" s="2"/>
      <c r="I773" s="2"/>
      <c r="J773" s="2"/>
      <c r="K773" s="2"/>
      <c r="L773" s="2"/>
      <c r="M773" s="2"/>
      <c r="N773" s="2"/>
    </row>
    <row r="774" ht="15.75" hidden="1" customHeight="1">
      <c r="A774" s="22" t="s">
        <v>4406</v>
      </c>
      <c r="B774" s="22" t="s">
        <v>4407</v>
      </c>
      <c r="C774" s="27" t="s">
        <v>2683</v>
      </c>
      <c r="D774" s="32"/>
      <c r="E774" s="69"/>
      <c r="F774" s="29"/>
      <c r="G774" s="25">
        <v>2300.0</v>
      </c>
      <c r="H774" s="2"/>
      <c r="I774" s="2"/>
      <c r="J774" s="2"/>
      <c r="K774" s="2"/>
      <c r="L774" s="2"/>
      <c r="M774" s="2"/>
      <c r="N774" s="2"/>
    </row>
    <row r="775" ht="15.75" hidden="1" customHeight="1">
      <c r="A775" s="22" t="s">
        <v>3530</v>
      </c>
      <c r="B775" s="22" t="s">
        <v>4408</v>
      </c>
      <c r="C775" s="27" t="s">
        <v>3711</v>
      </c>
      <c r="D775" s="32" t="s">
        <v>4409</v>
      </c>
      <c r="E775" s="69">
        <v>0.0</v>
      </c>
      <c r="F775" s="29"/>
      <c r="G775" s="25">
        <v>3300.0</v>
      </c>
      <c r="H775" s="2"/>
      <c r="I775" s="2"/>
      <c r="J775" s="2"/>
      <c r="K775" s="2"/>
      <c r="L775" s="2"/>
      <c r="M775" s="2"/>
      <c r="N775" s="2"/>
    </row>
    <row r="776" ht="15.75" hidden="1" customHeight="1">
      <c r="A776" s="22" t="s">
        <v>4410</v>
      </c>
      <c r="B776" s="22" t="s">
        <v>2716</v>
      </c>
      <c r="C776" s="27" t="s">
        <v>4411</v>
      </c>
      <c r="D776" s="32" t="s">
        <v>2718</v>
      </c>
      <c r="E776" s="69"/>
      <c r="F776" s="29"/>
      <c r="G776" s="25">
        <v>3850.0</v>
      </c>
      <c r="H776" s="2"/>
      <c r="I776" s="2"/>
      <c r="J776" s="2"/>
      <c r="K776" s="2"/>
      <c r="L776" s="2"/>
      <c r="M776" s="2"/>
      <c r="N776" s="2"/>
    </row>
    <row r="777" ht="15.75" hidden="1" customHeight="1">
      <c r="A777" s="22" t="s">
        <v>4412</v>
      </c>
      <c r="B777" s="22" t="s">
        <v>4413</v>
      </c>
      <c r="C777" s="27" t="s">
        <v>3919</v>
      </c>
      <c r="D777" s="62" t="s">
        <v>4208</v>
      </c>
      <c r="E777" s="69"/>
      <c r="F777" s="29"/>
      <c r="G777" s="211">
        <v>2950.0</v>
      </c>
      <c r="H777" s="168"/>
      <c r="I777" s="168"/>
      <c r="J777" s="168"/>
      <c r="K777" s="168"/>
      <c r="L777" s="168"/>
      <c r="M777" s="168"/>
      <c r="N777" s="168"/>
    </row>
    <row r="778" ht="15.75" hidden="1" customHeight="1">
      <c r="A778" s="27" t="s">
        <v>4414</v>
      </c>
      <c r="B778" s="27" t="s">
        <v>4415</v>
      </c>
      <c r="C778" s="27" t="s">
        <v>4416</v>
      </c>
      <c r="D778" s="32"/>
      <c r="E778" s="69"/>
      <c r="F778" s="29"/>
      <c r="G778" s="25">
        <v>2180.0</v>
      </c>
      <c r="H778" s="2"/>
      <c r="I778" s="2"/>
      <c r="J778" s="2"/>
      <c r="K778" s="2"/>
      <c r="L778" s="2"/>
      <c r="M778" s="2"/>
      <c r="N778" s="2"/>
    </row>
    <row r="779" ht="15.75" hidden="1" customHeight="1">
      <c r="A779" s="22" t="s">
        <v>4417</v>
      </c>
      <c r="B779" s="2" t="s">
        <v>4418</v>
      </c>
      <c r="C779" s="2" t="s">
        <v>4313</v>
      </c>
      <c r="D779" s="208" t="s">
        <v>4419</v>
      </c>
      <c r="E779" s="69"/>
      <c r="F779" s="29"/>
      <c r="G779" s="163">
        <v>1850.0</v>
      </c>
      <c r="H779" s="2"/>
      <c r="I779" s="2"/>
      <c r="J779" s="2"/>
      <c r="K779" s="2"/>
      <c r="L779" s="2"/>
      <c r="M779" s="2"/>
      <c r="N779" s="2"/>
    </row>
    <row r="780" ht="15.75" hidden="1" customHeight="1">
      <c r="A780" s="2" t="s">
        <v>4420</v>
      </c>
      <c r="B780" s="2" t="s">
        <v>4421</v>
      </c>
      <c r="C780" s="2" t="s">
        <v>4422</v>
      </c>
      <c r="D780" s="32" t="s">
        <v>4423</v>
      </c>
      <c r="E780" s="69"/>
      <c r="F780" s="29"/>
      <c r="G780" s="25">
        <v>2480.0</v>
      </c>
      <c r="H780" s="2"/>
      <c r="I780" s="2"/>
      <c r="J780" s="2"/>
      <c r="K780" s="2"/>
      <c r="L780" s="2"/>
      <c r="M780" s="2"/>
      <c r="N780" s="2"/>
    </row>
    <row r="781" ht="15.75" hidden="1" customHeight="1">
      <c r="A781" s="2" t="s">
        <v>4424</v>
      </c>
      <c r="B781" s="2" t="s">
        <v>4425</v>
      </c>
      <c r="C781" s="2" t="s">
        <v>4422</v>
      </c>
      <c r="D781" s="208" t="s">
        <v>4426</v>
      </c>
      <c r="E781" s="69"/>
      <c r="F781" s="29"/>
      <c r="G781" s="25">
        <v>2380.0</v>
      </c>
      <c r="H781" s="2"/>
      <c r="I781" s="2"/>
      <c r="J781" s="2"/>
      <c r="K781" s="2"/>
      <c r="L781" s="2"/>
      <c r="M781" s="2"/>
      <c r="N781" s="2"/>
    </row>
    <row r="782" ht="15.75" hidden="1" customHeight="1">
      <c r="A782" s="53" t="s">
        <v>4427</v>
      </c>
      <c r="B782" s="60" t="s">
        <v>4428</v>
      </c>
      <c r="C782" s="22" t="s">
        <v>4429</v>
      </c>
      <c r="D782" s="3" t="s">
        <v>2891</v>
      </c>
      <c r="E782" s="69"/>
      <c r="F782" s="29"/>
      <c r="G782" s="33">
        <v>1800.0</v>
      </c>
      <c r="H782" s="2"/>
      <c r="I782" s="2"/>
      <c r="J782" s="2"/>
      <c r="K782" s="2"/>
      <c r="L782" s="2"/>
      <c r="M782" s="2"/>
      <c r="N782" s="2"/>
    </row>
    <row r="783" ht="15.75" hidden="1" customHeight="1">
      <c r="A783" s="22" t="s">
        <v>4430</v>
      </c>
      <c r="B783" s="2" t="s">
        <v>4431</v>
      </c>
      <c r="C783" s="2" t="s">
        <v>4019</v>
      </c>
      <c r="D783" s="208" t="s">
        <v>2938</v>
      </c>
      <c r="E783" s="69"/>
      <c r="F783" s="29"/>
      <c r="G783" s="25">
        <v>1150.0</v>
      </c>
      <c r="H783" s="2"/>
      <c r="I783" s="2"/>
      <c r="J783" s="2"/>
      <c r="K783" s="2"/>
      <c r="L783" s="2"/>
      <c r="M783" s="2"/>
      <c r="N783" s="2"/>
    </row>
    <row r="784" ht="15.75" hidden="1" customHeight="1">
      <c r="A784" s="22" t="s">
        <v>4432</v>
      </c>
      <c r="B784" s="27" t="s">
        <v>4433</v>
      </c>
      <c r="C784" s="27" t="s">
        <v>4434</v>
      </c>
      <c r="D784" s="32"/>
      <c r="E784" s="69"/>
      <c r="F784" s="29"/>
      <c r="G784" s="25">
        <v>750.0</v>
      </c>
      <c r="H784" s="2"/>
      <c r="I784" s="2"/>
      <c r="J784" s="2"/>
      <c r="K784" s="2"/>
      <c r="L784" s="2"/>
      <c r="M784" s="2"/>
      <c r="N784" s="2"/>
    </row>
    <row r="785" ht="15.75" hidden="1" customHeight="1">
      <c r="A785" s="27" t="s">
        <v>4435</v>
      </c>
      <c r="B785" s="164" t="s">
        <v>4436</v>
      </c>
      <c r="C785" s="27" t="s">
        <v>4437</v>
      </c>
      <c r="D785" s="162" t="s">
        <v>4376</v>
      </c>
      <c r="E785" s="4"/>
      <c r="F785" s="5"/>
      <c r="G785" s="31">
        <v>3000.0</v>
      </c>
      <c r="H785" s="2"/>
      <c r="I785" s="2"/>
      <c r="J785" s="2"/>
      <c r="K785" s="2"/>
      <c r="L785" s="2"/>
      <c r="M785" s="2"/>
      <c r="N785" s="2"/>
    </row>
    <row r="786" ht="15.75" hidden="1" customHeight="1">
      <c r="A786" s="27" t="s">
        <v>4438</v>
      </c>
      <c r="B786" s="22" t="s">
        <v>4439</v>
      </c>
      <c r="C786" s="27" t="s">
        <v>4344</v>
      </c>
      <c r="D786" s="32" t="s">
        <v>2442</v>
      </c>
      <c r="E786" s="69"/>
      <c r="F786" s="29"/>
      <c r="G786" s="25">
        <v>3500.0</v>
      </c>
      <c r="H786" s="2"/>
      <c r="I786" s="2"/>
      <c r="J786" s="2"/>
      <c r="K786" s="2"/>
      <c r="L786" s="2"/>
      <c r="M786" s="2"/>
      <c r="N786" s="2"/>
    </row>
    <row r="787" ht="15.75" hidden="1" customHeight="1">
      <c r="A787" s="22" t="s">
        <v>4440</v>
      </c>
      <c r="B787" s="22" t="s">
        <v>4441</v>
      </c>
      <c r="C787" s="27" t="s">
        <v>4442</v>
      </c>
      <c r="D787" s="62" t="s">
        <v>4443</v>
      </c>
      <c r="E787" s="69"/>
      <c r="F787" s="29"/>
      <c r="G787" s="25">
        <v>1680.0</v>
      </c>
      <c r="H787" s="2"/>
      <c r="I787" s="2"/>
      <c r="J787" s="2"/>
      <c r="K787" s="2"/>
      <c r="L787" s="2"/>
      <c r="M787" s="2"/>
      <c r="N787" s="2"/>
    </row>
    <row r="788" ht="15.75" hidden="1" customHeight="1">
      <c r="A788" s="27" t="s">
        <v>4444</v>
      </c>
      <c r="B788" s="27" t="s">
        <v>4353</v>
      </c>
      <c r="C788" s="27" t="s">
        <v>4354</v>
      </c>
      <c r="D788" s="62" t="s">
        <v>1094</v>
      </c>
      <c r="E788" s="69"/>
      <c r="F788" s="29"/>
      <c r="G788" s="25">
        <v>2200.0</v>
      </c>
      <c r="H788" s="2"/>
      <c r="I788" s="2"/>
      <c r="J788" s="2"/>
      <c r="K788" s="2"/>
      <c r="L788" s="2"/>
      <c r="M788" s="2"/>
      <c r="N788" s="2"/>
    </row>
    <row r="789" ht="15.75" hidden="1" customHeight="1">
      <c r="A789" s="27" t="s">
        <v>4445</v>
      </c>
      <c r="B789" s="27" t="s">
        <v>4353</v>
      </c>
      <c r="C789" s="27" t="s">
        <v>4354</v>
      </c>
      <c r="D789" s="62" t="s">
        <v>1128</v>
      </c>
      <c r="E789" s="69"/>
      <c r="F789" s="29"/>
      <c r="G789" s="25">
        <v>2250.0</v>
      </c>
      <c r="H789" s="2"/>
      <c r="I789" s="2"/>
      <c r="J789" s="2"/>
      <c r="K789" s="2"/>
      <c r="L789" s="2"/>
      <c r="M789" s="2"/>
      <c r="N789" s="2"/>
    </row>
    <row r="790" ht="15.75" hidden="1" customHeight="1">
      <c r="A790" s="53" t="s">
        <v>3215</v>
      </c>
      <c r="B790" s="60" t="s">
        <v>4446</v>
      </c>
      <c r="C790" s="22" t="s">
        <v>4447</v>
      </c>
      <c r="D790" s="3" t="s">
        <v>3210</v>
      </c>
      <c r="E790" s="165"/>
      <c r="F790" s="34"/>
      <c r="G790" s="33">
        <v>13800.0</v>
      </c>
      <c r="H790" s="2"/>
      <c r="I790" s="2"/>
      <c r="J790" s="2"/>
      <c r="K790" s="2"/>
      <c r="L790" s="2"/>
      <c r="M790" s="2"/>
      <c r="N790" s="2"/>
    </row>
    <row r="791" ht="15.75" hidden="1" customHeight="1">
      <c r="A791" s="53" t="s">
        <v>4221</v>
      </c>
      <c r="B791" s="60" t="s">
        <v>4448</v>
      </c>
      <c r="C791" s="22" t="s">
        <v>4449</v>
      </c>
      <c r="D791" s="3" t="s">
        <v>3210</v>
      </c>
      <c r="E791" s="165"/>
      <c r="F791" s="34"/>
      <c r="G791" s="33">
        <v>13800.0</v>
      </c>
      <c r="H791" s="2"/>
      <c r="I791" s="2"/>
      <c r="J791" s="2"/>
      <c r="K791" s="2"/>
      <c r="L791" s="2"/>
      <c r="M791" s="2"/>
      <c r="N791" s="2"/>
    </row>
    <row r="792" ht="15.75" hidden="1" customHeight="1">
      <c r="A792" s="53" t="s">
        <v>4368</v>
      </c>
      <c r="B792" s="60" t="s">
        <v>4450</v>
      </c>
      <c r="C792" s="22" t="s">
        <v>4447</v>
      </c>
      <c r="D792" s="212" t="s">
        <v>4451</v>
      </c>
      <c r="E792" s="165"/>
      <c r="F792" s="34"/>
      <c r="G792" s="33">
        <v>13600.0</v>
      </c>
      <c r="H792" s="2"/>
      <c r="I792" s="2"/>
      <c r="J792" s="2"/>
      <c r="K792" s="2"/>
      <c r="L792" s="2"/>
      <c r="M792" s="2"/>
      <c r="N792" s="2"/>
    </row>
    <row r="793" ht="15.75" hidden="1" customHeight="1">
      <c r="A793" s="2" t="s">
        <v>4452</v>
      </c>
      <c r="B793" s="2" t="s">
        <v>3843</v>
      </c>
      <c r="C793" s="2" t="s">
        <v>3844</v>
      </c>
      <c r="D793" s="28"/>
      <c r="E793" s="69"/>
      <c r="F793" s="29"/>
      <c r="G793" s="25">
        <v>5600.0</v>
      </c>
      <c r="H793" s="183"/>
      <c r="I793" s="183"/>
      <c r="J793" s="183"/>
      <c r="K793" s="183"/>
      <c r="L793" s="183"/>
      <c r="M793" s="183"/>
      <c r="N793" s="183"/>
    </row>
    <row r="794" ht="15.75" hidden="1" customHeight="1">
      <c r="A794" s="2" t="s">
        <v>4453</v>
      </c>
      <c r="B794" s="2" t="s">
        <v>3843</v>
      </c>
      <c r="C794" s="2" t="s">
        <v>4454</v>
      </c>
      <c r="D794" s="28"/>
      <c r="E794" s="69"/>
      <c r="F794" s="29"/>
      <c r="G794" s="25">
        <v>5600.0</v>
      </c>
      <c r="H794" s="183"/>
      <c r="I794" s="183"/>
      <c r="J794" s="183"/>
      <c r="K794" s="183"/>
      <c r="L794" s="183"/>
      <c r="M794" s="183"/>
      <c r="N794" s="183"/>
    </row>
    <row r="795" ht="15.75" hidden="1" customHeight="1">
      <c r="A795" s="53" t="s">
        <v>4455</v>
      </c>
      <c r="B795" s="60" t="s">
        <v>4456</v>
      </c>
      <c r="C795" s="22" t="s">
        <v>4457</v>
      </c>
      <c r="D795" s="3"/>
      <c r="E795" s="165"/>
      <c r="F795" s="34"/>
      <c r="G795" s="33">
        <v>5500.0</v>
      </c>
      <c r="H795" s="2"/>
      <c r="I795" s="2"/>
      <c r="J795" s="2"/>
      <c r="K795" s="2"/>
      <c r="L795" s="2"/>
      <c r="M795" s="2"/>
      <c r="N795" s="2"/>
    </row>
    <row r="796" ht="15.75" hidden="1" customHeight="1">
      <c r="A796" s="53" t="s">
        <v>4458</v>
      </c>
      <c r="B796" s="22" t="s">
        <v>4109</v>
      </c>
      <c r="C796" s="22" t="s">
        <v>4105</v>
      </c>
      <c r="D796" s="62" t="s">
        <v>4110</v>
      </c>
      <c r="E796" s="69"/>
      <c r="F796" s="29"/>
      <c r="G796" s="25">
        <v>5600.0</v>
      </c>
      <c r="H796" s="2"/>
      <c r="I796" s="2"/>
      <c r="J796" s="2"/>
      <c r="K796" s="2"/>
      <c r="L796" s="2"/>
      <c r="M796" s="2"/>
      <c r="N796" s="2"/>
    </row>
    <row r="797" ht="15.75" hidden="1" customHeight="1">
      <c r="A797" s="53" t="s">
        <v>4459</v>
      </c>
      <c r="B797" s="53" t="s">
        <v>3360</v>
      </c>
      <c r="C797" s="22" t="s">
        <v>4375</v>
      </c>
      <c r="D797" s="62" t="s">
        <v>2958</v>
      </c>
      <c r="E797" s="69"/>
      <c r="F797" s="29"/>
      <c r="G797" s="25">
        <v>1800.0</v>
      </c>
      <c r="H797" s="2"/>
      <c r="I797" s="2"/>
      <c r="J797" s="2"/>
      <c r="K797" s="2"/>
      <c r="L797" s="2"/>
      <c r="M797" s="2"/>
      <c r="N797" s="2"/>
    </row>
    <row r="798" ht="15.75" hidden="1" customHeight="1">
      <c r="A798" s="53" t="s">
        <v>4460</v>
      </c>
      <c r="B798" s="60" t="s">
        <v>4461</v>
      </c>
      <c r="C798" s="22" t="s">
        <v>4462</v>
      </c>
      <c r="D798" s="52" t="s">
        <v>4463</v>
      </c>
      <c r="E798" s="165"/>
      <c r="F798" s="34"/>
      <c r="G798" s="33">
        <v>1800.0</v>
      </c>
      <c r="H798" s="2"/>
      <c r="I798" s="2"/>
      <c r="J798" s="2"/>
      <c r="K798" s="2"/>
      <c r="L798" s="2"/>
      <c r="M798" s="2"/>
      <c r="N798" s="2"/>
    </row>
    <row r="799" ht="15.75" hidden="1" customHeight="1">
      <c r="A799" s="53" t="s">
        <v>4464</v>
      </c>
      <c r="B799" s="60" t="s">
        <v>4465</v>
      </c>
      <c r="C799" s="22" t="s">
        <v>4462</v>
      </c>
      <c r="D799" s="52" t="s">
        <v>4463</v>
      </c>
      <c r="E799" s="165"/>
      <c r="F799" s="34"/>
      <c r="G799" s="33">
        <v>1800.0</v>
      </c>
      <c r="H799" s="2"/>
      <c r="I799" s="2"/>
      <c r="J799" s="2"/>
      <c r="K799" s="2"/>
      <c r="L799" s="2"/>
      <c r="M799" s="2"/>
      <c r="N799" s="2"/>
    </row>
    <row r="800" ht="15.75" hidden="1" customHeight="1">
      <c r="A800" s="29" t="s">
        <v>4466</v>
      </c>
      <c r="B800" s="53" t="s">
        <v>4467</v>
      </c>
      <c r="C800" s="5" t="s">
        <v>4382</v>
      </c>
      <c r="D800" s="62" t="s">
        <v>2404</v>
      </c>
      <c r="E800" s="4"/>
      <c r="F800" s="5"/>
      <c r="G800" s="163">
        <v>4200.0</v>
      </c>
      <c r="H800" s="2"/>
      <c r="I800" s="2"/>
      <c r="J800" s="2"/>
      <c r="K800" s="2"/>
      <c r="L800" s="2"/>
      <c r="M800" s="2"/>
      <c r="N800" s="2"/>
    </row>
    <row r="801" ht="15.75" hidden="1" customHeight="1">
      <c r="A801" s="53" t="s">
        <v>4468</v>
      </c>
      <c r="B801" s="53" t="s">
        <v>2511</v>
      </c>
      <c r="C801" s="27" t="s">
        <v>4469</v>
      </c>
      <c r="D801" s="62" t="s">
        <v>2513</v>
      </c>
      <c r="E801" s="69"/>
      <c r="F801" s="29"/>
      <c r="G801" s="25">
        <v>23490.0</v>
      </c>
      <c r="H801" s="2"/>
      <c r="I801" s="2"/>
      <c r="J801" s="2"/>
      <c r="K801" s="2"/>
      <c r="L801" s="2"/>
      <c r="M801" s="2"/>
      <c r="N801" s="2"/>
    </row>
    <row r="802" ht="15.75" hidden="1" customHeight="1">
      <c r="A802" s="2"/>
      <c r="B802" s="2"/>
      <c r="C802" s="2"/>
      <c r="D802" s="3"/>
      <c r="E802" s="4"/>
      <c r="F802" s="5"/>
      <c r="G802" s="31"/>
      <c r="H802" s="2"/>
      <c r="I802" s="2"/>
      <c r="J802" s="2"/>
      <c r="K802" s="2"/>
      <c r="L802" s="2"/>
      <c r="M802" s="2"/>
      <c r="N802" s="2"/>
    </row>
    <row r="803" ht="15.75" hidden="1" customHeight="1">
      <c r="A803" s="2"/>
      <c r="B803" s="2"/>
      <c r="C803" s="2"/>
      <c r="D803" s="3"/>
      <c r="E803" s="4"/>
      <c r="F803" s="5"/>
      <c r="G803" s="31"/>
      <c r="H803" s="2"/>
      <c r="I803" s="2"/>
      <c r="J803" s="2"/>
      <c r="K803" s="2"/>
      <c r="L803" s="2"/>
      <c r="M803" s="2"/>
      <c r="N803" s="2"/>
    </row>
    <row r="804" ht="15.75" hidden="1" customHeight="1">
      <c r="A804" s="2"/>
      <c r="B804" s="2"/>
      <c r="C804" s="2"/>
      <c r="D804" s="3"/>
      <c r="E804" s="4"/>
      <c r="F804" s="5"/>
      <c r="G804" s="31"/>
      <c r="H804" s="2"/>
      <c r="I804" s="2"/>
      <c r="J804" s="2"/>
      <c r="K804" s="2"/>
      <c r="L804" s="2"/>
      <c r="M804" s="2"/>
      <c r="N804" s="2"/>
    </row>
    <row r="805" ht="15.75" hidden="1" customHeight="1">
      <c r="A805" s="2"/>
      <c r="B805" s="2"/>
      <c r="C805" s="2"/>
      <c r="D805" s="3"/>
      <c r="E805" s="4"/>
      <c r="F805" s="5"/>
      <c r="G805" s="31"/>
      <c r="H805" s="2"/>
      <c r="I805" s="2"/>
      <c r="J805" s="2"/>
      <c r="K805" s="2"/>
      <c r="L805" s="2"/>
      <c r="M805" s="2"/>
      <c r="N805" s="2"/>
    </row>
    <row r="806" ht="15.75" hidden="1" customHeight="1">
      <c r="A806" s="2"/>
      <c r="B806" s="2"/>
      <c r="C806" s="2"/>
      <c r="D806" s="3"/>
      <c r="E806" s="4"/>
      <c r="F806" s="5"/>
      <c r="G806" s="31"/>
      <c r="H806" s="2"/>
      <c r="I806" s="2"/>
      <c r="J806" s="2"/>
      <c r="K806" s="2"/>
      <c r="L806" s="2"/>
      <c r="M806" s="2"/>
      <c r="N806" s="2"/>
    </row>
    <row r="807" ht="15.75" hidden="1" customHeight="1">
      <c r="A807" s="2"/>
      <c r="B807" s="2"/>
      <c r="C807" s="2"/>
      <c r="D807" s="3"/>
      <c r="E807" s="4"/>
      <c r="F807" s="5"/>
      <c r="G807" s="31"/>
      <c r="H807" s="2"/>
      <c r="I807" s="2"/>
      <c r="J807" s="2"/>
      <c r="K807" s="2"/>
      <c r="L807" s="2"/>
      <c r="M807" s="2"/>
      <c r="N807" s="2"/>
    </row>
    <row r="808" ht="15.75" hidden="1" customHeight="1">
      <c r="A808" s="2"/>
      <c r="B808" s="2"/>
      <c r="C808" s="2"/>
      <c r="D808" s="3"/>
      <c r="E808" s="4"/>
      <c r="F808" s="5"/>
      <c r="G808" s="31"/>
      <c r="H808" s="2"/>
      <c r="I808" s="2"/>
      <c r="J808" s="2"/>
      <c r="K808" s="2"/>
      <c r="L808" s="2"/>
      <c r="M808" s="2"/>
      <c r="N808" s="2"/>
    </row>
    <row r="809" ht="15.75" hidden="1" customHeight="1">
      <c r="A809" s="2"/>
      <c r="B809" s="2"/>
      <c r="C809" s="2"/>
      <c r="D809" s="3"/>
      <c r="E809" s="4"/>
      <c r="F809" s="5"/>
      <c r="G809" s="31"/>
      <c r="H809" s="2"/>
      <c r="I809" s="2"/>
      <c r="J809" s="2"/>
      <c r="K809" s="2"/>
      <c r="L809" s="2"/>
      <c r="M809" s="2"/>
      <c r="N809" s="2"/>
    </row>
    <row r="810" ht="15.75" hidden="1" customHeight="1">
      <c r="A810" s="2"/>
      <c r="B810" s="2"/>
      <c r="C810" s="2"/>
      <c r="D810" s="3"/>
      <c r="E810" s="4"/>
      <c r="F810" s="5"/>
      <c r="G810" s="31"/>
      <c r="H810" s="2"/>
      <c r="I810" s="2"/>
      <c r="J810" s="2"/>
      <c r="K810" s="2"/>
      <c r="L810" s="2"/>
      <c r="M810" s="2"/>
      <c r="N810" s="2"/>
    </row>
    <row r="811" ht="15.75" hidden="1" customHeight="1">
      <c r="A811" s="2"/>
      <c r="B811" s="2"/>
      <c r="C811" s="2"/>
      <c r="D811" s="3"/>
      <c r="E811" s="4"/>
      <c r="F811" s="5"/>
      <c r="G811" s="31"/>
      <c r="H811" s="2"/>
      <c r="I811" s="2"/>
      <c r="J811" s="2"/>
      <c r="K811" s="2"/>
      <c r="L811" s="2"/>
      <c r="M811" s="2"/>
      <c r="N811" s="2"/>
    </row>
    <row r="812" ht="15.75" hidden="1" customHeight="1">
      <c r="A812" s="2"/>
      <c r="B812" s="2"/>
      <c r="C812" s="2"/>
      <c r="D812" s="3"/>
      <c r="E812" s="4"/>
      <c r="F812" s="5"/>
      <c r="G812" s="31"/>
      <c r="H812" s="2"/>
      <c r="I812" s="2"/>
      <c r="J812" s="2"/>
      <c r="K812" s="2"/>
      <c r="L812" s="2"/>
      <c r="M812" s="2"/>
      <c r="N812" s="2"/>
    </row>
    <row r="813" ht="15.75" hidden="1" customHeight="1">
      <c r="A813" s="2"/>
      <c r="B813" s="2"/>
      <c r="C813" s="2"/>
      <c r="D813" s="3"/>
      <c r="E813" s="4"/>
      <c r="F813" s="5"/>
      <c r="G813" s="31"/>
      <c r="H813" s="2"/>
      <c r="I813" s="2"/>
      <c r="J813" s="2"/>
      <c r="K813" s="2"/>
      <c r="L813" s="2"/>
      <c r="M813" s="2"/>
      <c r="N813" s="2"/>
    </row>
    <row r="814" ht="15.75" hidden="1" customHeight="1">
      <c r="A814" s="2"/>
      <c r="B814" s="2"/>
      <c r="C814" s="2"/>
      <c r="D814" s="3"/>
      <c r="E814" s="4"/>
      <c r="F814" s="5"/>
      <c r="G814" s="31"/>
      <c r="H814" s="2"/>
      <c r="I814" s="2"/>
      <c r="J814" s="2"/>
      <c r="K814" s="2"/>
      <c r="L814" s="2"/>
      <c r="M814" s="2"/>
      <c r="N814" s="2"/>
    </row>
    <row r="815" ht="15.75" hidden="1" customHeight="1">
      <c r="A815" s="2"/>
      <c r="B815" s="2"/>
      <c r="C815" s="2"/>
      <c r="D815" s="3"/>
      <c r="E815" s="4"/>
      <c r="F815" s="5"/>
      <c r="G815" s="31"/>
      <c r="H815" s="2"/>
      <c r="I815" s="2"/>
      <c r="J815" s="2"/>
      <c r="K815" s="2"/>
      <c r="L815" s="2"/>
      <c r="M815" s="2"/>
      <c r="N815" s="2"/>
    </row>
    <row r="816" ht="15.75" hidden="1" customHeight="1">
      <c r="A816" s="2"/>
      <c r="B816" s="2"/>
      <c r="C816" s="2"/>
      <c r="D816" s="3"/>
      <c r="E816" s="4"/>
      <c r="F816" s="5"/>
      <c r="G816" s="31"/>
      <c r="H816" s="2"/>
      <c r="I816" s="2"/>
      <c r="J816" s="2"/>
      <c r="K816" s="2"/>
      <c r="L816" s="2"/>
      <c r="M816" s="2"/>
      <c r="N816" s="2"/>
    </row>
    <row r="817" ht="15.75" hidden="1" customHeight="1">
      <c r="A817" s="2"/>
      <c r="B817" s="2"/>
      <c r="C817" s="2"/>
      <c r="D817" s="3"/>
      <c r="E817" s="4"/>
      <c r="F817" s="5"/>
      <c r="G817" s="31"/>
      <c r="H817" s="2"/>
      <c r="I817" s="2"/>
      <c r="J817" s="2"/>
      <c r="K817" s="2"/>
      <c r="L817" s="2"/>
      <c r="M817" s="2"/>
      <c r="N817" s="2"/>
    </row>
    <row r="818" ht="15.75" hidden="1" customHeight="1">
      <c r="A818" s="2"/>
      <c r="B818" s="2"/>
      <c r="C818" s="2"/>
      <c r="D818" s="3"/>
      <c r="E818" s="4"/>
      <c r="F818" s="5"/>
      <c r="G818" s="31"/>
      <c r="H818" s="2"/>
      <c r="I818" s="2"/>
      <c r="J818" s="2"/>
      <c r="K818" s="2"/>
      <c r="L818" s="2"/>
      <c r="M818" s="2"/>
      <c r="N818" s="2"/>
    </row>
    <row r="819" ht="15.75" hidden="1" customHeight="1">
      <c r="A819" s="2"/>
      <c r="B819" s="2"/>
      <c r="C819" s="2"/>
      <c r="D819" s="3"/>
      <c r="E819" s="4"/>
      <c r="F819" s="5"/>
      <c r="G819" s="31"/>
      <c r="H819" s="2"/>
      <c r="I819" s="2"/>
      <c r="J819" s="2"/>
      <c r="K819" s="2"/>
      <c r="L819" s="2"/>
      <c r="M819" s="2"/>
      <c r="N819" s="2"/>
    </row>
    <row r="820" ht="15.75" hidden="1" customHeight="1">
      <c r="A820" s="2"/>
      <c r="B820" s="2"/>
      <c r="C820" s="2"/>
      <c r="D820" s="3"/>
      <c r="E820" s="4"/>
      <c r="F820" s="5"/>
      <c r="G820" s="31"/>
      <c r="H820" s="2"/>
      <c r="I820" s="2"/>
      <c r="J820" s="2"/>
      <c r="K820" s="2"/>
      <c r="L820" s="2"/>
      <c r="M820" s="2"/>
      <c r="N820" s="2"/>
    </row>
    <row r="821" ht="15.75" hidden="1" customHeight="1">
      <c r="A821" s="2"/>
      <c r="B821" s="2"/>
      <c r="C821" s="2"/>
      <c r="D821" s="3"/>
      <c r="E821" s="4"/>
      <c r="F821" s="5"/>
      <c r="G821" s="31"/>
      <c r="H821" s="2"/>
      <c r="I821" s="2"/>
      <c r="J821" s="2"/>
      <c r="K821" s="2"/>
      <c r="L821" s="2"/>
      <c r="M821" s="2"/>
      <c r="N821" s="2"/>
    </row>
    <row r="822" ht="15.75" hidden="1" customHeight="1">
      <c r="A822" s="2"/>
      <c r="B822" s="2"/>
      <c r="C822" s="2"/>
      <c r="D822" s="3"/>
      <c r="E822" s="4"/>
      <c r="F822" s="5"/>
      <c r="G822" s="31"/>
      <c r="H822" s="2"/>
      <c r="I822" s="2"/>
      <c r="J822" s="2"/>
      <c r="K822" s="2"/>
      <c r="L822" s="2"/>
      <c r="M822" s="2"/>
      <c r="N822" s="2"/>
    </row>
    <row r="823" ht="15.75" hidden="1" customHeight="1">
      <c r="A823" s="2"/>
      <c r="B823" s="2"/>
      <c r="C823" s="2"/>
      <c r="D823" s="3"/>
      <c r="E823" s="4"/>
      <c r="F823" s="5"/>
      <c r="G823" s="31"/>
      <c r="H823" s="2"/>
      <c r="I823" s="2"/>
      <c r="J823" s="2"/>
      <c r="K823" s="2"/>
      <c r="L823" s="2"/>
      <c r="M823" s="2"/>
      <c r="N823" s="2"/>
    </row>
    <row r="824" ht="15.75" hidden="1" customHeight="1">
      <c r="A824" s="2"/>
      <c r="B824" s="2"/>
      <c r="C824" s="2"/>
      <c r="D824" s="3"/>
      <c r="E824" s="4"/>
      <c r="F824" s="5"/>
      <c r="G824" s="31"/>
      <c r="H824" s="2"/>
      <c r="I824" s="2"/>
      <c r="J824" s="2"/>
      <c r="K824" s="2"/>
      <c r="L824" s="2"/>
      <c r="M824" s="2"/>
      <c r="N824" s="2"/>
    </row>
    <row r="825" ht="15.75" hidden="1" customHeight="1">
      <c r="A825" s="2"/>
      <c r="B825" s="2"/>
      <c r="C825" s="2"/>
      <c r="D825" s="3"/>
      <c r="E825" s="4"/>
      <c r="F825" s="5"/>
      <c r="G825" s="31"/>
      <c r="H825" s="2"/>
      <c r="I825" s="2"/>
      <c r="J825" s="2"/>
      <c r="K825" s="2"/>
      <c r="L825" s="2"/>
      <c r="M825" s="2"/>
      <c r="N825" s="2"/>
    </row>
    <row r="826" ht="15.75" hidden="1" customHeight="1">
      <c r="A826" s="2"/>
      <c r="B826" s="2"/>
      <c r="C826" s="2"/>
      <c r="D826" s="3"/>
      <c r="E826" s="4"/>
      <c r="F826" s="5"/>
      <c r="G826" s="31"/>
      <c r="H826" s="2"/>
      <c r="I826" s="2"/>
      <c r="J826" s="2"/>
      <c r="K826" s="2"/>
      <c r="L826" s="2"/>
      <c r="M826" s="2"/>
      <c r="N826" s="2"/>
    </row>
    <row r="827" ht="15.75" hidden="1" customHeight="1">
      <c r="A827" s="2"/>
      <c r="B827" s="2"/>
      <c r="C827" s="2"/>
      <c r="D827" s="3"/>
      <c r="E827" s="4"/>
      <c r="F827" s="5"/>
      <c r="G827" s="31"/>
      <c r="H827" s="2"/>
      <c r="I827" s="2"/>
      <c r="J827" s="2"/>
      <c r="K827" s="2"/>
      <c r="L827" s="2"/>
      <c r="M827" s="2"/>
      <c r="N827" s="2"/>
    </row>
    <row r="828" ht="15.75" hidden="1" customHeight="1">
      <c r="A828" s="2"/>
      <c r="B828" s="2"/>
      <c r="C828" s="2"/>
      <c r="D828" s="3"/>
      <c r="E828" s="4"/>
      <c r="F828" s="5"/>
      <c r="G828" s="31"/>
      <c r="H828" s="2"/>
      <c r="I828" s="2"/>
      <c r="J828" s="2"/>
      <c r="K828" s="2"/>
      <c r="L828" s="2"/>
      <c r="M828" s="2"/>
      <c r="N828" s="2"/>
    </row>
    <row r="829" ht="15.75" hidden="1" customHeight="1">
      <c r="A829" s="2"/>
      <c r="B829" s="2"/>
      <c r="C829" s="2"/>
      <c r="D829" s="3"/>
      <c r="E829" s="4"/>
      <c r="F829" s="5"/>
      <c r="G829" s="31"/>
      <c r="H829" s="2"/>
      <c r="I829" s="2"/>
      <c r="J829" s="2"/>
      <c r="K829" s="2"/>
      <c r="L829" s="2"/>
      <c r="M829" s="2"/>
      <c r="N829" s="2"/>
    </row>
    <row r="830" ht="15.75" hidden="1" customHeight="1">
      <c r="A830" s="2"/>
      <c r="B830" s="2"/>
      <c r="C830" s="2"/>
      <c r="D830" s="3"/>
      <c r="E830" s="4"/>
      <c r="F830" s="5"/>
      <c r="G830" s="31"/>
      <c r="H830" s="2"/>
      <c r="I830" s="2"/>
      <c r="J830" s="2"/>
      <c r="K830" s="2"/>
      <c r="L830" s="2"/>
      <c r="M830" s="2"/>
      <c r="N830" s="2"/>
    </row>
    <row r="831" ht="15.75" hidden="1" customHeight="1">
      <c r="A831" s="2"/>
      <c r="B831" s="2"/>
      <c r="C831" s="2"/>
      <c r="D831" s="3"/>
      <c r="E831" s="4"/>
      <c r="F831" s="5"/>
      <c r="G831" s="31"/>
      <c r="H831" s="2"/>
      <c r="I831" s="2"/>
      <c r="J831" s="2"/>
      <c r="K831" s="2"/>
      <c r="L831" s="2"/>
      <c r="M831" s="2"/>
      <c r="N831" s="2"/>
    </row>
    <row r="832" ht="15.75" hidden="1" customHeight="1">
      <c r="A832" s="2"/>
      <c r="B832" s="2"/>
      <c r="C832" s="2"/>
      <c r="D832" s="3"/>
      <c r="E832" s="4"/>
      <c r="F832" s="5"/>
      <c r="G832" s="31"/>
      <c r="H832" s="2"/>
      <c r="I832" s="2"/>
      <c r="J832" s="2"/>
      <c r="K832" s="2"/>
      <c r="L832" s="2"/>
      <c r="M832" s="2"/>
      <c r="N832" s="2"/>
    </row>
    <row r="833" ht="15.75" hidden="1" customHeight="1">
      <c r="A833" s="2"/>
      <c r="B833" s="2"/>
      <c r="C833" s="2"/>
      <c r="D833" s="3"/>
      <c r="E833" s="4"/>
      <c r="F833" s="5"/>
      <c r="G833" s="31"/>
      <c r="H833" s="2"/>
      <c r="I833" s="2"/>
      <c r="J833" s="2"/>
      <c r="K833" s="2"/>
      <c r="L833" s="2"/>
      <c r="M833" s="2"/>
      <c r="N833" s="2"/>
    </row>
    <row r="834" ht="15.75" hidden="1" customHeight="1">
      <c r="A834" s="2"/>
      <c r="B834" s="2"/>
      <c r="C834" s="2"/>
      <c r="D834" s="3"/>
      <c r="E834" s="4"/>
      <c r="F834" s="5"/>
      <c r="G834" s="31"/>
      <c r="H834" s="2"/>
      <c r="I834" s="2"/>
      <c r="J834" s="2"/>
      <c r="K834" s="2"/>
      <c r="L834" s="2"/>
      <c r="M834" s="2"/>
      <c r="N834" s="2"/>
    </row>
    <row r="835" ht="15.75" hidden="1" customHeight="1">
      <c r="A835" s="2"/>
      <c r="B835" s="2"/>
      <c r="C835" s="2"/>
      <c r="D835" s="3"/>
      <c r="E835" s="4"/>
      <c r="F835" s="5"/>
      <c r="G835" s="31"/>
      <c r="H835" s="2"/>
      <c r="I835" s="2"/>
      <c r="J835" s="2"/>
      <c r="K835" s="2"/>
      <c r="L835" s="2"/>
      <c r="M835" s="2"/>
      <c r="N835" s="2"/>
    </row>
    <row r="836" ht="15.75" hidden="1" customHeight="1">
      <c r="A836" s="2"/>
      <c r="B836" s="2"/>
      <c r="C836" s="2"/>
      <c r="D836" s="3"/>
      <c r="E836" s="4"/>
      <c r="F836" s="5"/>
      <c r="G836" s="31"/>
      <c r="H836" s="2"/>
      <c r="I836" s="2"/>
      <c r="J836" s="2"/>
      <c r="K836" s="2"/>
      <c r="L836" s="2"/>
      <c r="M836" s="2"/>
      <c r="N836" s="2"/>
    </row>
    <row r="837" ht="15.75" hidden="1" customHeight="1">
      <c r="A837" s="2"/>
      <c r="B837" s="2"/>
      <c r="C837" s="2"/>
      <c r="D837" s="3"/>
      <c r="E837" s="4"/>
      <c r="F837" s="5"/>
      <c r="G837" s="31"/>
      <c r="H837" s="2"/>
      <c r="I837" s="2"/>
      <c r="J837" s="2"/>
      <c r="K837" s="2"/>
      <c r="L837" s="2"/>
      <c r="M837" s="2"/>
      <c r="N837" s="2"/>
    </row>
    <row r="838" ht="15.75" hidden="1" customHeight="1">
      <c r="A838" s="2"/>
      <c r="B838" s="2"/>
      <c r="C838" s="2"/>
      <c r="D838" s="3"/>
      <c r="E838" s="4"/>
      <c r="F838" s="5"/>
      <c r="G838" s="31"/>
      <c r="H838" s="2"/>
      <c r="I838" s="2"/>
      <c r="J838" s="2"/>
      <c r="K838" s="2"/>
      <c r="L838" s="2"/>
      <c r="M838" s="2"/>
      <c r="N838" s="2"/>
    </row>
    <row r="839" ht="15.75" hidden="1" customHeight="1">
      <c r="A839" s="2"/>
      <c r="B839" s="2"/>
      <c r="C839" s="2"/>
      <c r="D839" s="3"/>
      <c r="E839" s="4"/>
      <c r="F839" s="5"/>
      <c r="G839" s="31"/>
      <c r="H839" s="2"/>
      <c r="I839" s="2"/>
      <c r="J839" s="2"/>
      <c r="K839" s="2"/>
      <c r="L839" s="2"/>
      <c r="M839" s="2"/>
      <c r="N839" s="2"/>
    </row>
    <row r="840" ht="15.75" hidden="1" customHeight="1">
      <c r="A840" s="2"/>
      <c r="B840" s="2"/>
      <c r="C840" s="2"/>
      <c r="D840" s="3"/>
      <c r="E840" s="4"/>
      <c r="F840" s="5"/>
      <c r="G840" s="31"/>
      <c r="H840" s="2"/>
      <c r="I840" s="2"/>
      <c r="J840" s="2"/>
      <c r="K840" s="2"/>
      <c r="L840" s="2"/>
      <c r="M840" s="2"/>
      <c r="N840" s="2"/>
    </row>
    <row r="841" ht="15.75" hidden="1" customHeight="1">
      <c r="A841" s="2"/>
      <c r="B841" s="2"/>
      <c r="C841" s="2"/>
      <c r="D841" s="3"/>
      <c r="E841" s="4"/>
      <c r="F841" s="5"/>
      <c r="G841" s="31"/>
      <c r="H841" s="2"/>
      <c r="I841" s="2"/>
      <c r="J841" s="2"/>
      <c r="K841" s="2"/>
      <c r="L841" s="2"/>
      <c r="M841" s="2"/>
      <c r="N841" s="2"/>
    </row>
    <row r="842" ht="15.75" hidden="1" customHeight="1">
      <c r="A842" s="2"/>
      <c r="B842" s="2"/>
      <c r="C842" s="2"/>
      <c r="D842" s="3"/>
      <c r="E842" s="4"/>
      <c r="F842" s="5"/>
      <c r="G842" s="31"/>
      <c r="H842" s="2"/>
      <c r="I842" s="2"/>
      <c r="J842" s="2"/>
      <c r="K842" s="2"/>
      <c r="L842" s="2"/>
      <c r="M842" s="2"/>
      <c r="N842" s="2"/>
    </row>
    <row r="843" ht="15.75" hidden="1" customHeight="1">
      <c r="A843" s="2"/>
      <c r="B843" s="2"/>
      <c r="C843" s="2"/>
      <c r="D843" s="3"/>
      <c r="E843" s="4"/>
      <c r="F843" s="5"/>
      <c r="G843" s="31"/>
      <c r="H843" s="2"/>
      <c r="I843" s="2"/>
      <c r="J843" s="2"/>
      <c r="K843" s="2"/>
      <c r="L843" s="2"/>
      <c r="M843" s="2"/>
      <c r="N843" s="2"/>
    </row>
    <row r="844" ht="15.75" hidden="1" customHeight="1">
      <c r="A844" s="2"/>
      <c r="B844" s="2"/>
      <c r="C844" s="2"/>
      <c r="D844" s="3"/>
      <c r="E844" s="4"/>
      <c r="F844" s="5"/>
      <c r="G844" s="31"/>
      <c r="H844" s="2"/>
      <c r="I844" s="2"/>
      <c r="J844" s="2"/>
      <c r="K844" s="2"/>
      <c r="L844" s="2"/>
      <c r="M844" s="2"/>
      <c r="N844" s="2"/>
    </row>
    <row r="845" ht="15.75" hidden="1" customHeight="1">
      <c r="A845" s="2"/>
      <c r="B845" s="2"/>
      <c r="C845" s="2"/>
      <c r="D845" s="3"/>
      <c r="E845" s="4"/>
      <c r="F845" s="5"/>
      <c r="G845" s="31"/>
      <c r="H845" s="2"/>
      <c r="I845" s="2"/>
      <c r="J845" s="2"/>
      <c r="K845" s="2"/>
      <c r="L845" s="2"/>
      <c r="M845" s="2"/>
      <c r="N845" s="2"/>
    </row>
    <row r="846" ht="15.75" hidden="1" customHeight="1">
      <c r="A846" s="2"/>
      <c r="B846" s="2"/>
      <c r="C846" s="2"/>
      <c r="D846" s="3"/>
      <c r="E846" s="4"/>
      <c r="F846" s="5"/>
      <c r="G846" s="31"/>
      <c r="H846" s="2"/>
      <c r="I846" s="2"/>
      <c r="J846" s="2"/>
      <c r="K846" s="2"/>
      <c r="L846" s="2"/>
      <c r="M846" s="2"/>
      <c r="N846" s="2"/>
    </row>
    <row r="847" ht="15.75" hidden="1" customHeight="1">
      <c r="A847" s="2"/>
      <c r="B847" s="2"/>
      <c r="C847" s="2"/>
      <c r="D847" s="3"/>
      <c r="E847" s="4"/>
      <c r="F847" s="5"/>
      <c r="G847" s="31"/>
      <c r="H847" s="2"/>
      <c r="I847" s="2"/>
      <c r="J847" s="2"/>
      <c r="K847" s="2"/>
      <c r="L847" s="2"/>
      <c r="M847" s="2"/>
      <c r="N847" s="2"/>
    </row>
    <row r="848" ht="15.75" hidden="1" customHeight="1">
      <c r="A848" s="2"/>
      <c r="B848" s="2"/>
      <c r="C848" s="2"/>
      <c r="D848" s="3"/>
      <c r="E848" s="4"/>
      <c r="F848" s="5"/>
      <c r="G848" s="31"/>
      <c r="H848" s="2"/>
      <c r="I848" s="2"/>
      <c r="J848" s="2"/>
      <c r="K848" s="2"/>
      <c r="L848" s="2"/>
      <c r="M848" s="2"/>
      <c r="N848" s="2"/>
    </row>
    <row r="849" ht="15.75" hidden="1" customHeight="1">
      <c r="A849" s="2"/>
      <c r="B849" s="2"/>
      <c r="C849" s="2"/>
      <c r="D849" s="3"/>
      <c r="E849" s="4"/>
      <c r="F849" s="5"/>
      <c r="G849" s="31"/>
      <c r="H849" s="2"/>
      <c r="I849" s="2"/>
      <c r="J849" s="2"/>
      <c r="K849" s="2"/>
      <c r="L849" s="2"/>
      <c r="M849" s="2"/>
      <c r="N849" s="2"/>
    </row>
    <row r="850" ht="15.75" hidden="1" customHeight="1">
      <c r="A850" s="2"/>
      <c r="B850" s="2"/>
      <c r="C850" s="2"/>
      <c r="D850" s="3"/>
      <c r="E850" s="4"/>
      <c r="F850" s="5"/>
      <c r="G850" s="31"/>
      <c r="H850" s="2"/>
      <c r="I850" s="2"/>
      <c r="J850" s="2"/>
      <c r="K850" s="2"/>
      <c r="L850" s="2"/>
      <c r="M850" s="2"/>
      <c r="N850" s="2"/>
    </row>
    <row r="851" ht="15.75" hidden="1" customHeight="1">
      <c r="A851" s="2"/>
      <c r="B851" s="2"/>
      <c r="C851" s="2"/>
      <c r="D851" s="3"/>
      <c r="E851" s="4"/>
      <c r="F851" s="5"/>
      <c r="G851" s="31"/>
      <c r="H851" s="2"/>
      <c r="I851" s="2"/>
      <c r="J851" s="2"/>
      <c r="K851" s="2"/>
      <c r="L851" s="2"/>
      <c r="M851" s="2"/>
      <c r="N851" s="2"/>
    </row>
    <row r="852" ht="15.75" hidden="1" customHeight="1">
      <c r="A852" s="2"/>
      <c r="B852" s="2"/>
      <c r="C852" s="2"/>
      <c r="D852" s="3"/>
      <c r="E852" s="4"/>
      <c r="F852" s="5"/>
      <c r="G852" s="31"/>
      <c r="H852" s="2"/>
      <c r="I852" s="2"/>
      <c r="J852" s="2"/>
      <c r="K852" s="2"/>
      <c r="L852" s="2"/>
      <c r="M852" s="2"/>
      <c r="N852" s="2"/>
    </row>
    <row r="853" ht="15.75" hidden="1" customHeight="1">
      <c r="A853" s="2"/>
      <c r="B853" s="2"/>
      <c r="C853" s="2"/>
      <c r="D853" s="3"/>
      <c r="E853" s="4"/>
      <c r="F853" s="5"/>
      <c r="G853" s="31"/>
      <c r="H853" s="2"/>
      <c r="I853" s="2"/>
      <c r="J853" s="2"/>
      <c r="K853" s="2"/>
      <c r="L853" s="2"/>
      <c r="M853" s="2"/>
      <c r="N853" s="2"/>
    </row>
    <row r="854" ht="15.75" hidden="1" customHeight="1">
      <c r="A854" s="2"/>
      <c r="B854" s="2"/>
      <c r="C854" s="2"/>
      <c r="D854" s="3"/>
      <c r="E854" s="4"/>
      <c r="F854" s="5"/>
      <c r="G854" s="31"/>
      <c r="H854" s="2"/>
      <c r="I854" s="2"/>
      <c r="J854" s="2"/>
      <c r="K854" s="2"/>
      <c r="L854" s="2"/>
      <c r="M854" s="2"/>
      <c r="N854" s="2"/>
    </row>
    <row r="855" ht="15.75" hidden="1" customHeight="1">
      <c r="A855" s="2"/>
      <c r="B855" s="2"/>
      <c r="C855" s="2"/>
      <c r="D855" s="3"/>
      <c r="E855" s="4"/>
      <c r="F855" s="5"/>
      <c r="G855" s="31"/>
      <c r="H855" s="2"/>
      <c r="I855" s="2"/>
      <c r="J855" s="2"/>
      <c r="K855" s="2"/>
      <c r="L855" s="2"/>
      <c r="M855" s="2"/>
      <c r="N855" s="2"/>
    </row>
    <row r="856" ht="15.75" hidden="1" customHeight="1">
      <c r="A856" s="2"/>
      <c r="B856" s="2"/>
      <c r="C856" s="2"/>
      <c r="D856" s="3"/>
      <c r="E856" s="4"/>
      <c r="F856" s="5"/>
      <c r="G856" s="31"/>
      <c r="H856" s="2"/>
      <c r="I856" s="2"/>
      <c r="J856" s="2"/>
      <c r="K856" s="2"/>
      <c r="L856" s="2"/>
      <c r="M856" s="2"/>
      <c r="N856" s="2"/>
    </row>
    <row r="857" ht="15.75" hidden="1" customHeight="1">
      <c r="A857" s="2"/>
      <c r="B857" s="2"/>
      <c r="C857" s="2"/>
      <c r="D857" s="3"/>
      <c r="E857" s="4"/>
      <c r="F857" s="5"/>
      <c r="G857" s="31"/>
      <c r="H857" s="2"/>
      <c r="I857" s="2"/>
      <c r="J857" s="2"/>
      <c r="K857" s="2"/>
      <c r="L857" s="2"/>
      <c r="M857" s="2"/>
      <c r="N857" s="2"/>
    </row>
    <row r="858" ht="15.75" hidden="1" customHeight="1">
      <c r="A858" s="2"/>
      <c r="B858" s="2"/>
      <c r="C858" s="2"/>
      <c r="D858" s="3"/>
      <c r="E858" s="4"/>
      <c r="F858" s="5"/>
      <c r="G858" s="31"/>
      <c r="H858" s="2"/>
      <c r="I858" s="2"/>
      <c r="J858" s="2"/>
      <c r="K858" s="2"/>
      <c r="L858" s="2"/>
      <c r="M858" s="2"/>
      <c r="N858" s="2"/>
    </row>
    <row r="859" ht="15.75" hidden="1" customHeight="1">
      <c r="A859" s="2"/>
      <c r="B859" s="2"/>
      <c r="C859" s="2"/>
      <c r="D859" s="3"/>
      <c r="E859" s="4"/>
      <c r="F859" s="5"/>
      <c r="G859" s="31"/>
      <c r="H859" s="2"/>
      <c r="I859" s="2"/>
      <c r="J859" s="2"/>
      <c r="K859" s="2"/>
      <c r="L859" s="2"/>
      <c r="M859" s="2"/>
      <c r="N859" s="2"/>
    </row>
    <row r="860" ht="15.75" hidden="1" customHeight="1">
      <c r="A860" s="2"/>
      <c r="B860" s="2"/>
      <c r="C860" s="2"/>
      <c r="D860" s="3"/>
      <c r="E860" s="4"/>
      <c r="F860" s="5"/>
      <c r="G860" s="31"/>
      <c r="H860" s="2"/>
      <c r="I860" s="2"/>
      <c r="J860" s="2"/>
      <c r="K860" s="2"/>
      <c r="L860" s="2"/>
      <c r="M860" s="2"/>
      <c r="N860" s="2"/>
    </row>
    <row r="861" ht="15.75" hidden="1" customHeight="1">
      <c r="A861" s="2"/>
      <c r="B861" s="2"/>
      <c r="C861" s="2"/>
      <c r="D861" s="3"/>
      <c r="E861" s="4"/>
      <c r="F861" s="5"/>
      <c r="G861" s="31"/>
      <c r="H861" s="2"/>
      <c r="I861" s="2"/>
      <c r="J861" s="2"/>
      <c r="K861" s="2"/>
      <c r="L861" s="2"/>
      <c r="M861" s="2"/>
      <c r="N861" s="2"/>
    </row>
    <row r="862" ht="15.75" hidden="1" customHeight="1">
      <c r="A862" s="2"/>
      <c r="B862" s="2"/>
      <c r="C862" s="2"/>
      <c r="D862" s="3"/>
      <c r="E862" s="4"/>
      <c r="F862" s="5"/>
      <c r="G862" s="31"/>
      <c r="H862" s="2"/>
      <c r="I862" s="2"/>
      <c r="J862" s="2"/>
      <c r="K862" s="2"/>
      <c r="L862" s="2"/>
      <c r="M862" s="2"/>
      <c r="N862" s="2"/>
    </row>
    <row r="863" ht="15.75" hidden="1" customHeight="1">
      <c r="A863" s="2"/>
      <c r="B863" s="2"/>
      <c r="C863" s="2"/>
      <c r="D863" s="3"/>
      <c r="E863" s="4"/>
      <c r="F863" s="5"/>
      <c r="G863" s="31"/>
      <c r="H863" s="2"/>
      <c r="I863" s="2"/>
      <c r="J863" s="2"/>
      <c r="K863" s="2"/>
      <c r="L863" s="2"/>
      <c r="M863" s="2"/>
      <c r="N863" s="2"/>
    </row>
    <row r="864" ht="15.75" hidden="1" customHeight="1">
      <c r="A864" s="2"/>
      <c r="B864" s="2"/>
      <c r="C864" s="2"/>
      <c r="D864" s="3"/>
      <c r="E864" s="4"/>
      <c r="F864" s="5"/>
      <c r="G864" s="31"/>
      <c r="H864" s="2"/>
      <c r="I864" s="2"/>
      <c r="J864" s="2"/>
      <c r="K864" s="2"/>
      <c r="L864" s="2"/>
      <c r="M864" s="2"/>
      <c r="N864" s="2"/>
    </row>
    <row r="865" ht="15.75" hidden="1" customHeight="1">
      <c r="A865" s="2"/>
      <c r="B865" s="2"/>
      <c r="C865" s="2"/>
      <c r="D865" s="3"/>
      <c r="E865" s="4"/>
      <c r="F865" s="5"/>
      <c r="G865" s="31"/>
      <c r="H865" s="2"/>
      <c r="I865" s="2"/>
      <c r="J865" s="2"/>
      <c r="K865" s="2"/>
      <c r="L865" s="2"/>
      <c r="M865" s="2"/>
      <c r="N865" s="2"/>
    </row>
    <row r="866" ht="15.75" hidden="1" customHeight="1">
      <c r="A866" s="2"/>
      <c r="B866" s="2"/>
      <c r="C866" s="2"/>
      <c r="D866" s="3"/>
      <c r="E866" s="4"/>
      <c r="F866" s="5"/>
      <c r="G866" s="31"/>
      <c r="H866" s="2"/>
      <c r="I866" s="2"/>
      <c r="J866" s="2"/>
      <c r="K866" s="2"/>
      <c r="L866" s="2"/>
      <c r="M866" s="2"/>
      <c r="N866" s="2"/>
    </row>
    <row r="867" ht="15.75" hidden="1" customHeight="1">
      <c r="A867" s="2"/>
      <c r="B867" s="2"/>
      <c r="C867" s="2"/>
      <c r="D867" s="3"/>
      <c r="E867" s="4"/>
      <c r="F867" s="5"/>
      <c r="G867" s="31"/>
      <c r="H867" s="2"/>
      <c r="I867" s="2"/>
      <c r="J867" s="2"/>
      <c r="K867" s="2"/>
      <c r="L867" s="2"/>
      <c r="M867" s="2"/>
      <c r="N867" s="2"/>
    </row>
    <row r="868" ht="15.75" hidden="1" customHeight="1">
      <c r="A868" s="2"/>
      <c r="B868" s="2"/>
      <c r="C868" s="2"/>
      <c r="D868" s="3"/>
      <c r="E868" s="4"/>
      <c r="F868" s="5"/>
      <c r="G868" s="31"/>
      <c r="H868" s="2"/>
      <c r="I868" s="2"/>
      <c r="J868" s="2"/>
      <c r="K868" s="2"/>
      <c r="L868" s="2"/>
      <c r="M868" s="2"/>
      <c r="N868" s="2"/>
    </row>
    <row r="869" ht="15.75" hidden="1" customHeight="1">
      <c r="A869" s="2"/>
      <c r="B869" s="2"/>
      <c r="C869" s="2"/>
      <c r="D869" s="3"/>
      <c r="E869" s="4"/>
      <c r="F869" s="5"/>
      <c r="G869" s="31"/>
      <c r="H869" s="2"/>
      <c r="I869" s="2"/>
      <c r="J869" s="2"/>
      <c r="K869" s="2"/>
      <c r="L869" s="2"/>
      <c r="M869" s="2"/>
      <c r="N869" s="2"/>
    </row>
    <row r="870" ht="15.75" hidden="1" customHeight="1">
      <c r="A870" s="2"/>
      <c r="B870" s="2"/>
      <c r="C870" s="2"/>
      <c r="D870" s="3"/>
      <c r="E870" s="4"/>
      <c r="F870" s="5"/>
      <c r="G870" s="31"/>
      <c r="H870" s="2"/>
      <c r="I870" s="2"/>
      <c r="J870" s="2"/>
      <c r="K870" s="2"/>
      <c r="L870" s="2"/>
      <c r="M870" s="2"/>
      <c r="N870" s="2"/>
    </row>
    <row r="871" ht="15.75" hidden="1" customHeight="1">
      <c r="A871" s="2"/>
      <c r="B871" s="2"/>
      <c r="C871" s="2"/>
      <c r="D871" s="3"/>
      <c r="E871" s="4"/>
      <c r="F871" s="5"/>
      <c r="G871" s="31"/>
      <c r="H871" s="2"/>
      <c r="I871" s="2"/>
      <c r="J871" s="2"/>
      <c r="K871" s="2"/>
      <c r="L871" s="2"/>
      <c r="M871" s="2"/>
      <c r="N871" s="2"/>
    </row>
    <row r="872" ht="15.75" hidden="1" customHeight="1">
      <c r="A872" s="2"/>
      <c r="B872" s="2"/>
      <c r="C872" s="2"/>
      <c r="D872" s="3"/>
      <c r="E872" s="4"/>
      <c r="F872" s="5"/>
      <c r="G872" s="31"/>
      <c r="H872" s="2"/>
      <c r="I872" s="2"/>
      <c r="J872" s="2"/>
      <c r="K872" s="2"/>
      <c r="L872" s="2"/>
      <c r="M872" s="2"/>
      <c r="N872" s="2"/>
    </row>
    <row r="873" ht="15.75" hidden="1" customHeight="1">
      <c r="A873" s="2"/>
      <c r="B873" s="2"/>
      <c r="C873" s="2"/>
      <c r="D873" s="3"/>
      <c r="E873" s="4"/>
      <c r="F873" s="5"/>
      <c r="G873" s="31"/>
      <c r="H873" s="2"/>
      <c r="I873" s="2"/>
      <c r="J873" s="2"/>
      <c r="K873" s="2"/>
      <c r="L873" s="2"/>
      <c r="M873" s="2"/>
      <c r="N873" s="2"/>
    </row>
    <row r="874" ht="15.75" hidden="1" customHeight="1">
      <c r="A874" s="2"/>
      <c r="B874" s="2"/>
      <c r="C874" s="2"/>
      <c r="D874" s="3"/>
      <c r="E874" s="4"/>
      <c r="F874" s="5"/>
      <c r="G874" s="31"/>
      <c r="H874" s="2"/>
      <c r="I874" s="2"/>
      <c r="J874" s="2"/>
      <c r="K874" s="2"/>
      <c r="L874" s="2"/>
      <c r="M874" s="2"/>
      <c r="N874" s="2"/>
    </row>
    <row r="875" ht="15.75" hidden="1" customHeight="1">
      <c r="A875" s="2"/>
      <c r="B875" s="2"/>
      <c r="C875" s="2"/>
      <c r="D875" s="3"/>
      <c r="E875" s="4"/>
      <c r="F875" s="5"/>
      <c r="G875" s="31"/>
      <c r="H875" s="2"/>
      <c r="I875" s="2"/>
      <c r="J875" s="2"/>
      <c r="K875" s="2"/>
      <c r="L875" s="2"/>
      <c r="M875" s="2"/>
      <c r="N875" s="2"/>
    </row>
    <row r="876" ht="15.75" hidden="1" customHeight="1">
      <c r="A876" s="2"/>
      <c r="B876" s="2"/>
      <c r="C876" s="2"/>
      <c r="D876" s="3"/>
      <c r="E876" s="4"/>
      <c r="F876" s="5"/>
      <c r="G876" s="31"/>
      <c r="H876" s="2"/>
      <c r="I876" s="2"/>
      <c r="J876" s="2"/>
      <c r="K876" s="2"/>
      <c r="L876" s="2"/>
      <c r="M876" s="2"/>
      <c r="N876" s="2"/>
    </row>
    <row r="877" ht="15.75" hidden="1" customHeight="1">
      <c r="A877" s="2"/>
      <c r="B877" s="2"/>
      <c r="C877" s="2"/>
      <c r="D877" s="3"/>
      <c r="E877" s="4"/>
      <c r="F877" s="5"/>
      <c r="G877" s="31"/>
      <c r="H877" s="2"/>
      <c r="I877" s="2"/>
      <c r="J877" s="2"/>
      <c r="K877" s="2"/>
      <c r="L877" s="2"/>
      <c r="M877" s="2"/>
      <c r="N877" s="2"/>
    </row>
    <row r="878" ht="15.75" hidden="1" customHeight="1">
      <c r="A878" s="2"/>
      <c r="B878" s="2"/>
      <c r="C878" s="2"/>
      <c r="D878" s="3"/>
      <c r="E878" s="4"/>
      <c r="F878" s="5"/>
      <c r="G878" s="31"/>
      <c r="H878" s="2"/>
      <c r="I878" s="2"/>
      <c r="J878" s="2"/>
      <c r="K878" s="2"/>
      <c r="L878" s="2"/>
      <c r="M878" s="2"/>
      <c r="N878" s="2"/>
    </row>
    <row r="879" ht="15.75" hidden="1" customHeight="1">
      <c r="A879" s="2"/>
      <c r="B879" s="2"/>
      <c r="C879" s="2"/>
      <c r="D879" s="3"/>
      <c r="E879" s="4"/>
      <c r="F879" s="5"/>
      <c r="G879" s="31"/>
      <c r="H879" s="2"/>
      <c r="I879" s="2"/>
      <c r="J879" s="2"/>
      <c r="K879" s="2"/>
      <c r="L879" s="2"/>
      <c r="M879" s="2"/>
      <c r="N879" s="2"/>
    </row>
    <row r="880" ht="15.75" hidden="1" customHeight="1">
      <c r="A880" s="2"/>
      <c r="B880" s="2"/>
      <c r="C880" s="2"/>
      <c r="D880" s="3"/>
      <c r="E880" s="4"/>
      <c r="F880" s="5"/>
      <c r="G880" s="31"/>
      <c r="H880" s="2"/>
      <c r="I880" s="2"/>
      <c r="J880" s="2"/>
      <c r="K880" s="2"/>
      <c r="L880" s="2"/>
      <c r="M880" s="2"/>
      <c r="N880" s="2"/>
    </row>
    <row r="881" ht="15.75" hidden="1" customHeight="1">
      <c r="A881" s="2"/>
      <c r="B881" s="2"/>
      <c r="C881" s="2"/>
      <c r="D881" s="3"/>
      <c r="E881" s="4"/>
      <c r="F881" s="5"/>
      <c r="G881" s="31"/>
      <c r="H881" s="2"/>
      <c r="I881" s="2"/>
      <c r="J881" s="2"/>
      <c r="K881" s="2"/>
      <c r="L881" s="2"/>
      <c r="M881" s="2"/>
      <c r="N881" s="2"/>
    </row>
    <row r="882" ht="15.75" hidden="1" customHeight="1">
      <c r="A882" s="2"/>
      <c r="B882" s="2"/>
      <c r="C882" s="2"/>
      <c r="D882" s="3"/>
      <c r="E882" s="4"/>
      <c r="F882" s="5"/>
      <c r="G882" s="31"/>
      <c r="H882" s="2"/>
      <c r="I882" s="2"/>
      <c r="J882" s="2"/>
      <c r="K882" s="2"/>
      <c r="L882" s="2"/>
      <c r="M882" s="2"/>
      <c r="N882" s="2"/>
    </row>
    <row r="883" ht="15.75" hidden="1" customHeight="1">
      <c r="A883" s="2"/>
      <c r="B883" s="2"/>
      <c r="C883" s="2"/>
      <c r="D883" s="3"/>
      <c r="E883" s="4"/>
      <c r="F883" s="5"/>
      <c r="G883" s="31"/>
      <c r="H883" s="2"/>
      <c r="I883" s="2"/>
      <c r="J883" s="2"/>
      <c r="K883" s="2"/>
      <c r="L883" s="2"/>
      <c r="M883" s="2"/>
      <c r="N883" s="2"/>
    </row>
    <row r="884" ht="15.75" hidden="1" customHeight="1">
      <c r="A884" s="2"/>
      <c r="B884" s="2"/>
      <c r="C884" s="2"/>
      <c r="D884" s="3"/>
      <c r="E884" s="4"/>
      <c r="F884" s="5"/>
      <c r="G884" s="31"/>
      <c r="H884" s="2"/>
      <c r="I884" s="2"/>
      <c r="J884" s="2"/>
      <c r="K884" s="2"/>
      <c r="L884" s="2"/>
      <c r="M884" s="2"/>
      <c r="N884" s="2"/>
    </row>
    <row r="885" ht="15.75" hidden="1" customHeight="1">
      <c r="A885" s="2"/>
      <c r="B885" s="2"/>
      <c r="C885" s="2"/>
      <c r="D885" s="3"/>
      <c r="E885" s="4"/>
      <c r="F885" s="5"/>
      <c r="G885" s="31"/>
      <c r="H885" s="2"/>
      <c r="I885" s="2"/>
      <c r="J885" s="2"/>
      <c r="K885" s="2"/>
      <c r="L885" s="2"/>
      <c r="M885" s="2"/>
      <c r="N885" s="2"/>
    </row>
    <row r="886" ht="15.75" hidden="1" customHeight="1">
      <c r="A886" s="2"/>
      <c r="B886" s="2"/>
      <c r="C886" s="2"/>
      <c r="D886" s="3"/>
      <c r="E886" s="4"/>
      <c r="F886" s="5"/>
      <c r="G886" s="31"/>
      <c r="H886" s="2"/>
      <c r="I886" s="2"/>
      <c r="J886" s="2"/>
      <c r="K886" s="2"/>
      <c r="L886" s="2"/>
      <c r="M886" s="2"/>
      <c r="N886" s="2"/>
    </row>
    <row r="887" ht="15.75" hidden="1" customHeight="1">
      <c r="A887" s="2"/>
      <c r="B887" s="2"/>
      <c r="C887" s="2"/>
      <c r="D887" s="3"/>
      <c r="E887" s="4"/>
      <c r="F887" s="5"/>
      <c r="G887" s="31"/>
      <c r="H887" s="2"/>
      <c r="I887" s="2"/>
      <c r="J887" s="2"/>
      <c r="K887" s="2"/>
      <c r="L887" s="2"/>
      <c r="M887" s="2"/>
      <c r="N887" s="2"/>
    </row>
    <row r="888" ht="15.75" hidden="1" customHeight="1">
      <c r="A888" s="2"/>
      <c r="B888" s="2"/>
      <c r="C888" s="2"/>
      <c r="D888" s="3"/>
      <c r="E888" s="4"/>
      <c r="F888" s="5"/>
      <c r="G888" s="31"/>
      <c r="H888" s="2"/>
      <c r="I888" s="2"/>
      <c r="J888" s="2"/>
      <c r="K888" s="2"/>
      <c r="L888" s="2"/>
      <c r="M888" s="2"/>
      <c r="N888" s="2"/>
    </row>
    <row r="889" ht="15.75" hidden="1" customHeight="1">
      <c r="A889" s="2"/>
      <c r="B889" s="2"/>
      <c r="C889" s="2"/>
      <c r="D889" s="3"/>
      <c r="E889" s="4"/>
      <c r="F889" s="5"/>
      <c r="G889" s="31"/>
      <c r="H889" s="2"/>
      <c r="I889" s="2"/>
      <c r="J889" s="2"/>
      <c r="K889" s="2"/>
      <c r="L889" s="2"/>
      <c r="M889" s="2"/>
      <c r="N889" s="2"/>
    </row>
    <row r="890" ht="15.75" hidden="1" customHeight="1">
      <c r="A890" s="2"/>
      <c r="B890" s="2"/>
      <c r="C890" s="2"/>
      <c r="D890" s="3"/>
      <c r="E890" s="4"/>
      <c r="F890" s="5"/>
      <c r="G890" s="31"/>
      <c r="H890" s="2"/>
      <c r="I890" s="2"/>
      <c r="J890" s="2"/>
      <c r="K890" s="2"/>
      <c r="L890" s="2"/>
      <c r="M890" s="2"/>
      <c r="N890" s="2"/>
    </row>
    <row r="891" ht="15.75" hidden="1" customHeight="1">
      <c r="A891" s="2"/>
      <c r="B891" s="2"/>
      <c r="C891" s="2"/>
      <c r="D891" s="3"/>
      <c r="E891" s="4"/>
      <c r="F891" s="5"/>
      <c r="G891" s="31"/>
      <c r="H891" s="2"/>
      <c r="I891" s="2"/>
      <c r="J891" s="2"/>
      <c r="K891" s="2"/>
      <c r="L891" s="2"/>
      <c r="M891" s="2"/>
      <c r="N891" s="2"/>
    </row>
    <row r="892" ht="15.75" hidden="1" customHeight="1">
      <c r="A892" s="2"/>
      <c r="B892" s="2"/>
      <c r="C892" s="2"/>
      <c r="D892" s="3"/>
      <c r="E892" s="4"/>
      <c r="F892" s="5"/>
      <c r="G892" s="31"/>
      <c r="H892" s="2"/>
      <c r="I892" s="2"/>
      <c r="J892" s="2"/>
      <c r="K892" s="2"/>
      <c r="L892" s="2"/>
      <c r="M892" s="2"/>
      <c r="N892" s="2"/>
    </row>
    <row r="893" ht="15.75" hidden="1" customHeight="1">
      <c r="A893" s="2"/>
      <c r="B893" s="2"/>
      <c r="C893" s="2"/>
      <c r="D893" s="3"/>
      <c r="E893" s="4"/>
      <c r="F893" s="5"/>
      <c r="G893" s="31"/>
      <c r="H893" s="2"/>
      <c r="I893" s="2"/>
      <c r="J893" s="2"/>
      <c r="K893" s="2"/>
      <c r="L893" s="2"/>
      <c r="M893" s="2"/>
      <c r="N893" s="2"/>
    </row>
    <row r="894" ht="15.75" hidden="1" customHeight="1">
      <c r="A894" s="2"/>
      <c r="B894" s="2"/>
      <c r="C894" s="2"/>
      <c r="D894" s="3"/>
      <c r="E894" s="4"/>
      <c r="F894" s="5"/>
      <c r="G894" s="31"/>
      <c r="H894" s="2"/>
      <c r="I894" s="2"/>
      <c r="J894" s="2"/>
      <c r="K894" s="2"/>
      <c r="L894" s="2"/>
      <c r="M894" s="2"/>
      <c r="N894" s="2"/>
    </row>
    <row r="895" ht="15.75" hidden="1" customHeight="1">
      <c r="A895" s="2"/>
      <c r="B895" s="2"/>
      <c r="C895" s="2"/>
      <c r="D895" s="3"/>
      <c r="E895" s="4"/>
      <c r="F895" s="5"/>
      <c r="G895" s="31"/>
      <c r="H895" s="2"/>
      <c r="I895" s="2"/>
      <c r="J895" s="2"/>
      <c r="K895" s="2"/>
      <c r="L895" s="2"/>
      <c r="M895" s="2"/>
      <c r="N895" s="2"/>
    </row>
    <row r="896" ht="15.75" hidden="1" customHeight="1">
      <c r="A896" s="2"/>
      <c r="B896" s="2"/>
      <c r="C896" s="2"/>
      <c r="D896" s="3"/>
      <c r="E896" s="4"/>
      <c r="F896" s="5"/>
      <c r="G896" s="31"/>
      <c r="H896" s="2"/>
      <c r="I896" s="2"/>
      <c r="J896" s="2"/>
      <c r="K896" s="2"/>
      <c r="L896" s="2"/>
      <c r="M896" s="2"/>
      <c r="N896" s="2"/>
    </row>
    <row r="897" ht="15.75" hidden="1" customHeight="1">
      <c r="A897" s="2"/>
      <c r="B897" s="2"/>
      <c r="C897" s="2"/>
      <c r="D897" s="3"/>
      <c r="E897" s="4"/>
      <c r="F897" s="5"/>
      <c r="G897" s="31"/>
      <c r="H897" s="2"/>
      <c r="I897" s="2"/>
      <c r="J897" s="2"/>
      <c r="K897" s="2"/>
      <c r="L897" s="2"/>
      <c r="M897" s="2"/>
      <c r="N897" s="2"/>
    </row>
    <row r="898" ht="15.75" hidden="1" customHeight="1">
      <c r="A898" s="2"/>
      <c r="B898" s="2"/>
      <c r="C898" s="2"/>
      <c r="D898" s="3"/>
      <c r="E898" s="4"/>
      <c r="F898" s="5"/>
      <c r="G898" s="31"/>
      <c r="H898" s="2"/>
      <c r="I898" s="2"/>
      <c r="J898" s="2"/>
      <c r="K898" s="2"/>
      <c r="L898" s="2"/>
      <c r="M898" s="2"/>
      <c r="N898" s="2"/>
    </row>
    <row r="899" ht="15.75" hidden="1" customHeight="1">
      <c r="A899" s="2"/>
      <c r="B899" s="2"/>
      <c r="C899" s="2"/>
      <c r="D899" s="3"/>
      <c r="E899" s="4"/>
      <c r="F899" s="5"/>
      <c r="G899" s="31"/>
      <c r="H899" s="2"/>
      <c r="I899" s="2"/>
      <c r="J899" s="2"/>
      <c r="K899" s="2"/>
      <c r="L899" s="2"/>
      <c r="M899" s="2"/>
      <c r="N899" s="2"/>
    </row>
    <row r="900" ht="15.75" hidden="1" customHeight="1">
      <c r="A900" s="2"/>
      <c r="B900" s="2"/>
      <c r="C900" s="2"/>
      <c r="D900" s="3"/>
      <c r="E900" s="4"/>
      <c r="F900" s="5"/>
      <c r="G900" s="31"/>
      <c r="H900" s="2"/>
      <c r="I900" s="2"/>
      <c r="J900" s="2"/>
      <c r="K900" s="2"/>
      <c r="L900" s="2"/>
      <c r="M900" s="2"/>
      <c r="N900" s="2"/>
    </row>
    <row r="901" ht="15.75" hidden="1" customHeight="1">
      <c r="A901" s="2"/>
      <c r="B901" s="2"/>
      <c r="C901" s="2"/>
      <c r="D901" s="3"/>
      <c r="E901" s="4"/>
      <c r="F901" s="5"/>
      <c r="G901" s="31"/>
      <c r="H901" s="2"/>
      <c r="I901" s="2"/>
      <c r="J901" s="2"/>
      <c r="K901" s="2"/>
      <c r="L901" s="2"/>
      <c r="M901" s="2"/>
      <c r="N901" s="2"/>
    </row>
    <row r="902" ht="15.75" hidden="1" customHeight="1">
      <c r="A902" s="2"/>
      <c r="B902" s="2"/>
      <c r="C902" s="2"/>
      <c r="D902" s="3"/>
      <c r="E902" s="4"/>
      <c r="F902" s="5"/>
      <c r="G902" s="31"/>
      <c r="H902" s="2"/>
      <c r="I902" s="2"/>
      <c r="J902" s="2"/>
      <c r="K902" s="2"/>
      <c r="L902" s="2"/>
      <c r="M902" s="2"/>
      <c r="N902" s="2"/>
    </row>
    <row r="903" ht="15.75" hidden="1" customHeight="1">
      <c r="A903" s="2"/>
      <c r="B903" s="2"/>
      <c r="C903" s="2"/>
      <c r="D903" s="3"/>
      <c r="E903" s="4"/>
      <c r="F903" s="5"/>
      <c r="G903" s="31"/>
      <c r="H903" s="2"/>
      <c r="I903" s="2"/>
      <c r="J903" s="2"/>
      <c r="K903" s="2"/>
      <c r="L903" s="2"/>
      <c r="M903" s="2"/>
      <c r="N903" s="2"/>
    </row>
    <row r="904" ht="15.75" hidden="1" customHeight="1">
      <c r="A904" s="2"/>
      <c r="B904" s="2"/>
      <c r="C904" s="2"/>
      <c r="D904" s="3"/>
      <c r="E904" s="4"/>
      <c r="F904" s="5"/>
      <c r="G904" s="31"/>
      <c r="H904" s="2"/>
      <c r="I904" s="2"/>
      <c r="J904" s="2"/>
      <c r="K904" s="2"/>
      <c r="L904" s="2"/>
      <c r="M904" s="2"/>
      <c r="N904" s="2"/>
    </row>
    <row r="905" ht="15.75" hidden="1" customHeight="1">
      <c r="A905" s="2"/>
      <c r="B905" s="2"/>
      <c r="C905" s="2"/>
      <c r="D905" s="3"/>
      <c r="E905" s="4"/>
      <c r="F905" s="5"/>
      <c r="G905" s="31"/>
      <c r="H905" s="2"/>
      <c r="I905" s="2"/>
      <c r="J905" s="2"/>
      <c r="K905" s="2"/>
      <c r="L905" s="2"/>
      <c r="M905" s="2"/>
      <c r="N905" s="2"/>
    </row>
    <row r="906" ht="15.75" hidden="1" customHeight="1">
      <c r="A906" s="2"/>
      <c r="B906" s="2"/>
      <c r="C906" s="2"/>
      <c r="D906" s="3"/>
      <c r="E906" s="4"/>
      <c r="F906" s="5"/>
      <c r="G906" s="31"/>
      <c r="H906" s="2"/>
      <c r="I906" s="2"/>
      <c r="J906" s="2"/>
      <c r="K906" s="2"/>
      <c r="L906" s="2"/>
      <c r="M906" s="2"/>
      <c r="N906" s="2"/>
    </row>
    <row r="907" ht="15.75" hidden="1" customHeight="1">
      <c r="A907" s="2"/>
      <c r="B907" s="2"/>
      <c r="C907" s="2"/>
      <c r="D907" s="3"/>
      <c r="E907" s="4"/>
      <c r="F907" s="5"/>
      <c r="G907" s="31"/>
      <c r="H907" s="2"/>
      <c r="I907" s="2"/>
      <c r="J907" s="2"/>
      <c r="K907" s="2"/>
      <c r="L907" s="2"/>
      <c r="M907" s="2"/>
      <c r="N907" s="2"/>
    </row>
    <row r="908" ht="15.75" hidden="1" customHeight="1">
      <c r="A908" s="2"/>
      <c r="B908" s="2"/>
      <c r="C908" s="2"/>
      <c r="D908" s="3"/>
      <c r="E908" s="4"/>
      <c r="F908" s="5"/>
      <c r="G908" s="31"/>
      <c r="H908" s="2"/>
      <c r="I908" s="2"/>
      <c r="J908" s="2"/>
      <c r="K908" s="2"/>
      <c r="L908" s="2"/>
      <c r="M908" s="2"/>
      <c r="N908" s="2"/>
    </row>
    <row r="909" ht="15.75" hidden="1" customHeight="1">
      <c r="A909" s="2"/>
      <c r="B909" s="2"/>
      <c r="C909" s="2"/>
      <c r="D909" s="3"/>
      <c r="E909" s="4"/>
      <c r="F909" s="5"/>
      <c r="G909" s="31"/>
      <c r="H909" s="2"/>
      <c r="I909" s="2"/>
      <c r="J909" s="2"/>
      <c r="K909" s="2"/>
      <c r="L909" s="2"/>
      <c r="M909" s="2"/>
      <c r="N909" s="2"/>
    </row>
    <row r="910" ht="15.75" hidden="1" customHeight="1">
      <c r="A910" s="2"/>
      <c r="B910" s="2"/>
      <c r="C910" s="2"/>
      <c r="D910" s="3"/>
      <c r="E910" s="4"/>
      <c r="F910" s="5"/>
      <c r="G910" s="31"/>
      <c r="H910" s="2"/>
      <c r="I910" s="2"/>
      <c r="J910" s="2"/>
      <c r="K910" s="2"/>
      <c r="L910" s="2"/>
      <c r="M910" s="2"/>
      <c r="N910" s="2"/>
    </row>
    <row r="911" ht="15.75" hidden="1" customHeight="1">
      <c r="A911" s="2"/>
      <c r="B911" s="2"/>
      <c r="C911" s="2"/>
      <c r="D911" s="3"/>
      <c r="E911" s="4"/>
      <c r="F911" s="5"/>
      <c r="G911" s="31"/>
      <c r="H911" s="2"/>
      <c r="I911" s="2"/>
      <c r="J911" s="2"/>
      <c r="K911" s="2"/>
      <c r="L911" s="2"/>
      <c r="M911" s="2"/>
      <c r="N911" s="2"/>
    </row>
    <row r="912" ht="15.75" hidden="1" customHeight="1">
      <c r="A912" s="2"/>
      <c r="B912" s="2"/>
      <c r="C912" s="2"/>
      <c r="D912" s="3"/>
      <c r="E912" s="4"/>
      <c r="F912" s="5"/>
      <c r="G912" s="31"/>
      <c r="H912" s="2"/>
      <c r="I912" s="2"/>
      <c r="J912" s="2"/>
      <c r="K912" s="2"/>
      <c r="L912" s="2"/>
      <c r="M912" s="2"/>
      <c r="N912" s="2"/>
    </row>
    <row r="913" ht="15.75" hidden="1" customHeight="1">
      <c r="A913" s="2"/>
      <c r="B913" s="2"/>
      <c r="C913" s="2"/>
      <c r="D913" s="3"/>
      <c r="E913" s="4"/>
      <c r="F913" s="5"/>
      <c r="G913" s="31"/>
      <c r="H913" s="2"/>
      <c r="I913" s="2"/>
      <c r="J913" s="2"/>
      <c r="K913" s="2"/>
      <c r="L913" s="2"/>
      <c r="M913" s="2"/>
      <c r="N913" s="2"/>
    </row>
    <row r="914" ht="15.75" hidden="1" customHeight="1">
      <c r="A914" s="2"/>
      <c r="B914" s="2"/>
      <c r="C914" s="2"/>
      <c r="D914" s="3"/>
      <c r="E914" s="4"/>
      <c r="F914" s="5"/>
      <c r="G914" s="31"/>
      <c r="H914" s="2"/>
      <c r="I914" s="2"/>
      <c r="J914" s="2"/>
      <c r="K914" s="2"/>
      <c r="L914" s="2"/>
      <c r="M914" s="2"/>
      <c r="N914" s="2"/>
    </row>
    <row r="915" ht="15.75" hidden="1" customHeight="1">
      <c r="A915" s="2"/>
      <c r="B915" s="2"/>
      <c r="C915" s="2"/>
      <c r="D915" s="3"/>
      <c r="E915" s="4"/>
      <c r="F915" s="5"/>
      <c r="G915" s="31"/>
      <c r="H915" s="2"/>
      <c r="I915" s="2"/>
      <c r="J915" s="2"/>
      <c r="K915" s="2"/>
      <c r="L915" s="2"/>
      <c r="M915" s="2"/>
      <c r="N915" s="2"/>
    </row>
    <row r="916" ht="15.75" hidden="1" customHeight="1">
      <c r="A916" s="2"/>
      <c r="B916" s="2"/>
      <c r="C916" s="2"/>
      <c r="D916" s="3"/>
      <c r="E916" s="4"/>
      <c r="F916" s="5"/>
      <c r="G916" s="31"/>
      <c r="H916" s="2"/>
      <c r="I916" s="2"/>
      <c r="J916" s="2"/>
      <c r="K916" s="2"/>
      <c r="L916" s="2"/>
      <c r="M916" s="2"/>
      <c r="N916" s="2"/>
    </row>
    <row r="917" ht="15.75" hidden="1" customHeight="1">
      <c r="A917" s="2"/>
      <c r="B917" s="2"/>
      <c r="C917" s="2"/>
      <c r="D917" s="3"/>
      <c r="E917" s="4"/>
      <c r="F917" s="5"/>
      <c r="G917" s="31"/>
      <c r="H917" s="2"/>
      <c r="I917" s="2"/>
      <c r="J917" s="2"/>
      <c r="K917" s="2"/>
      <c r="L917" s="2"/>
      <c r="M917" s="2"/>
      <c r="N917" s="2"/>
    </row>
    <row r="918" ht="15.75" hidden="1" customHeight="1">
      <c r="A918" s="2"/>
      <c r="B918" s="2"/>
      <c r="C918" s="2"/>
      <c r="D918" s="3"/>
      <c r="E918" s="4"/>
      <c r="F918" s="5"/>
      <c r="G918" s="31"/>
      <c r="H918" s="2"/>
      <c r="I918" s="2"/>
      <c r="J918" s="2"/>
      <c r="K918" s="2"/>
      <c r="L918" s="2"/>
      <c r="M918" s="2"/>
      <c r="N918" s="2"/>
    </row>
    <row r="919" ht="15.75" hidden="1" customHeight="1">
      <c r="A919" s="2"/>
      <c r="B919" s="2"/>
      <c r="C919" s="2"/>
      <c r="D919" s="3"/>
      <c r="E919" s="4"/>
      <c r="F919" s="5"/>
      <c r="G919" s="31"/>
      <c r="H919" s="2"/>
      <c r="I919" s="2"/>
      <c r="J919" s="2"/>
      <c r="K919" s="2"/>
      <c r="L919" s="2"/>
      <c r="M919" s="2"/>
      <c r="N919" s="2"/>
    </row>
    <row r="920" ht="15.75" hidden="1" customHeight="1">
      <c r="A920" s="2"/>
      <c r="B920" s="2"/>
      <c r="C920" s="2"/>
      <c r="D920" s="3"/>
      <c r="E920" s="4"/>
      <c r="F920" s="5"/>
      <c r="G920" s="31"/>
      <c r="H920" s="2"/>
      <c r="I920" s="2"/>
      <c r="J920" s="2"/>
      <c r="K920" s="2"/>
      <c r="L920" s="2"/>
      <c r="M920" s="2"/>
      <c r="N920" s="2"/>
    </row>
    <row r="921" ht="15.75" hidden="1" customHeight="1">
      <c r="A921" s="2"/>
      <c r="B921" s="2"/>
      <c r="C921" s="2"/>
      <c r="D921" s="3"/>
      <c r="E921" s="4"/>
      <c r="F921" s="5"/>
      <c r="G921" s="31"/>
      <c r="H921" s="2"/>
      <c r="I921" s="2"/>
      <c r="J921" s="2"/>
      <c r="K921" s="2"/>
      <c r="L921" s="2"/>
      <c r="M921" s="2"/>
      <c r="N921" s="2"/>
    </row>
    <row r="922" ht="15.75" hidden="1" customHeight="1">
      <c r="A922" s="2"/>
      <c r="B922" s="2"/>
      <c r="C922" s="2"/>
      <c r="D922" s="3"/>
      <c r="E922" s="4"/>
      <c r="F922" s="5"/>
      <c r="G922" s="31"/>
      <c r="H922" s="2"/>
      <c r="I922" s="2"/>
      <c r="J922" s="2"/>
      <c r="K922" s="2"/>
      <c r="L922" s="2"/>
      <c r="M922" s="2"/>
      <c r="N922" s="2"/>
    </row>
    <row r="923" ht="15.75" hidden="1" customHeight="1">
      <c r="A923" s="2"/>
      <c r="B923" s="2"/>
      <c r="C923" s="2"/>
      <c r="D923" s="3"/>
      <c r="E923" s="4"/>
      <c r="F923" s="5"/>
      <c r="G923" s="31"/>
      <c r="H923" s="2"/>
      <c r="I923" s="2"/>
      <c r="J923" s="2"/>
      <c r="K923" s="2"/>
      <c r="L923" s="2"/>
      <c r="M923" s="2"/>
      <c r="N923" s="2"/>
    </row>
    <row r="924" ht="15.75" hidden="1" customHeight="1">
      <c r="A924" s="2"/>
      <c r="B924" s="2"/>
      <c r="C924" s="2"/>
      <c r="D924" s="3"/>
      <c r="E924" s="4"/>
      <c r="F924" s="5"/>
      <c r="G924" s="31"/>
      <c r="H924" s="2"/>
      <c r="I924" s="2"/>
      <c r="J924" s="2"/>
      <c r="K924" s="2"/>
      <c r="L924" s="2"/>
      <c r="M924" s="2"/>
      <c r="N924" s="2"/>
    </row>
    <row r="925" ht="15.75" hidden="1" customHeight="1">
      <c r="A925" s="2"/>
      <c r="B925" s="2"/>
      <c r="C925" s="2"/>
      <c r="D925" s="3"/>
      <c r="E925" s="4"/>
      <c r="F925" s="5"/>
      <c r="G925" s="31"/>
      <c r="H925" s="2"/>
      <c r="I925" s="2"/>
      <c r="J925" s="2"/>
      <c r="K925" s="2"/>
      <c r="L925" s="2"/>
      <c r="M925" s="2"/>
      <c r="N925" s="2"/>
    </row>
    <row r="926" ht="15.75" hidden="1" customHeight="1">
      <c r="A926" s="2"/>
      <c r="B926" s="2"/>
      <c r="C926" s="2"/>
      <c r="D926" s="3"/>
      <c r="E926" s="4"/>
      <c r="F926" s="5"/>
      <c r="G926" s="31"/>
      <c r="H926" s="2"/>
      <c r="I926" s="2"/>
      <c r="J926" s="2"/>
      <c r="K926" s="2"/>
      <c r="L926" s="2"/>
      <c r="M926" s="2"/>
      <c r="N926" s="2"/>
    </row>
    <row r="927" ht="15.75" hidden="1" customHeight="1">
      <c r="A927" s="2"/>
      <c r="B927" s="2"/>
      <c r="C927" s="2"/>
      <c r="D927" s="3"/>
      <c r="E927" s="4"/>
      <c r="F927" s="5"/>
      <c r="G927" s="31"/>
      <c r="H927" s="2"/>
      <c r="I927" s="2"/>
      <c r="J927" s="2"/>
      <c r="K927" s="2"/>
      <c r="L927" s="2"/>
      <c r="M927" s="2"/>
      <c r="N927" s="2"/>
    </row>
    <row r="928" ht="15.75" hidden="1" customHeight="1">
      <c r="A928" s="2"/>
      <c r="B928" s="2"/>
      <c r="C928" s="2"/>
      <c r="D928" s="3"/>
      <c r="E928" s="4"/>
      <c r="F928" s="5"/>
      <c r="G928" s="31"/>
      <c r="H928" s="2"/>
      <c r="I928" s="2"/>
      <c r="J928" s="2"/>
      <c r="K928" s="2"/>
      <c r="L928" s="2"/>
      <c r="M928" s="2"/>
      <c r="N928" s="2"/>
    </row>
    <row r="929" ht="15.75" hidden="1" customHeight="1">
      <c r="A929" s="2"/>
      <c r="B929" s="2"/>
      <c r="C929" s="2"/>
      <c r="D929" s="3"/>
      <c r="E929" s="4"/>
      <c r="F929" s="5"/>
      <c r="G929" s="31"/>
      <c r="H929" s="2"/>
      <c r="I929" s="2"/>
      <c r="J929" s="2"/>
      <c r="K929" s="2"/>
      <c r="L929" s="2"/>
      <c r="M929" s="2"/>
      <c r="N929" s="2"/>
    </row>
    <row r="930" ht="15.75" hidden="1" customHeight="1">
      <c r="A930" s="2"/>
      <c r="B930" s="2"/>
      <c r="C930" s="2"/>
      <c r="D930" s="3"/>
      <c r="E930" s="4"/>
      <c r="F930" s="5"/>
      <c r="G930" s="31"/>
      <c r="H930" s="2"/>
      <c r="I930" s="2"/>
      <c r="J930" s="2"/>
      <c r="K930" s="2"/>
      <c r="L930" s="2"/>
      <c r="M930" s="2"/>
      <c r="N930" s="2"/>
    </row>
    <row r="931" ht="15.75" hidden="1" customHeight="1">
      <c r="A931" s="2"/>
      <c r="B931" s="2"/>
      <c r="C931" s="2"/>
      <c r="D931" s="3"/>
      <c r="E931" s="4"/>
      <c r="F931" s="5"/>
      <c r="G931" s="31"/>
      <c r="H931" s="2"/>
      <c r="I931" s="2"/>
      <c r="J931" s="2"/>
      <c r="K931" s="2"/>
      <c r="L931" s="2"/>
      <c r="M931" s="2"/>
      <c r="N931" s="2"/>
    </row>
    <row r="932" ht="15.75" hidden="1" customHeight="1">
      <c r="A932" s="2"/>
      <c r="B932" s="2"/>
      <c r="C932" s="2"/>
      <c r="D932" s="3"/>
      <c r="E932" s="4"/>
      <c r="F932" s="5"/>
      <c r="G932" s="31"/>
      <c r="H932" s="2"/>
      <c r="I932" s="2"/>
      <c r="J932" s="2"/>
      <c r="K932" s="2"/>
      <c r="L932" s="2"/>
      <c r="M932" s="2"/>
      <c r="N932" s="2"/>
    </row>
    <row r="933" ht="15.75" hidden="1" customHeight="1">
      <c r="A933" s="2"/>
      <c r="B933" s="2"/>
      <c r="C933" s="2"/>
      <c r="D933" s="3"/>
      <c r="E933" s="4"/>
      <c r="F933" s="5"/>
      <c r="G933" s="31"/>
      <c r="H933" s="2"/>
      <c r="I933" s="2"/>
      <c r="J933" s="2"/>
      <c r="K933" s="2"/>
      <c r="L933" s="2"/>
      <c r="M933" s="2"/>
      <c r="N933" s="2"/>
    </row>
    <row r="934" ht="15.75" hidden="1" customHeight="1">
      <c r="A934" s="2"/>
      <c r="B934" s="2"/>
      <c r="C934" s="2"/>
      <c r="D934" s="3"/>
      <c r="E934" s="4"/>
      <c r="F934" s="5"/>
      <c r="G934" s="31"/>
      <c r="H934" s="2"/>
      <c r="I934" s="2"/>
      <c r="J934" s="2"/>
      <c r="K934" s="2"/>
      <c r="L934" s="2"/>
      <c r="M934" s="2"/>
      <c r="N934" s="2"/>
    </row>
    <row r="935" ht="15.75" hidden="1" customHeight="1">
      <c r="A935" s="2"/>
      <c r="B935" s="2"/>
      <c r="C935" s="2"/>
      <c r="D935" s="3"/>
      <c r="E935" s="4"/>
      <c r="F935" s="5"/>
      <c r="G935" s="31"/>
      <c r="H935" s="2"/>
      <c r="I935" s="2"/>
      <c r="J935" s="2"/>
      <c r="K935" s="2"/>
      <c r="L935" s="2"/>
      <c r="M935" s="2"/>
      <c r="N935" s="2"/>
    </row>
    <row r="936" ht="15.75" hidden="1" customHeight="1">
      <c r="A936" s="2"/>
      <c r="B936" s="2"/>
      <c r="C936" s="2"/>
      <c r="D936" s="3"/>
      <c r="E936" s="4"/>
      <c r="F936" s="5"/>
      <c r="G936" s="31"/>
      <c r="H936" s="2"/>
      <c r="I936" s="2"/>
      <c r="J936" s="2"/>
      <c r="K936" s="2"/>
      <c r="L936" s="2"/>
      <c r="M936" s="2"/>
      <c r="N936" s="2"/>
    </row>
    <row r="937" ht="15.75" hidden="1" customHeight="1">
      <c r="A937" s="2"/>
      <c r="B937" s="2"/>
      <c r="C937" s="2"/>
      <c r="D937" s="3"/>
      <c r="E937" s="4"/>
      <c r="F937" s="5"/>
      <c r="G937" s="31"/>
      <c r="H937" s="2"/>
      <c r="I937" s="2"/>
      <c r="J937" s="2"/>
      <c r="K937" s="2"/>
      <c r="L937" s="2"/>
      <c r="M937" s="2"/>
      <c r="N937" s="2"/>
    </row>
    <row r="938" ht="15.75" hidden="1" customHeight="1">
      <c r="A938" s="2"/>
      <c r="B938" s="2"/>
      <c r="C938" s="2"/>
      <c r="D938" s="3"/>
      <c r="E938" s="4"/>
      <c r="F938" s="5"/>
      <c r="G938" s="31"/>
      <c r="H938" s="2"/>
      <c r="I938" s="2"/>
      <c r="J938" s="2"/>
      <c r="K938" s="2"/>
      <c r="L938" s="2"/>
      <c r="M938" s="2"/>
      <c r="N938" s="2"/>
    </row>
    <row r="939" ht="15.75" hidden="1" customHeight="1">
      <c r="A939" s="2"/>
      <c r="B939" s="2"/>
      <c r="C939" s="2"/>
      <c r="D939" s="3"/>
      <c r="E939" s="4"/>
      <c r="F939" s="5"/>
      <c r="G939" s="31"/>
      <c r="H939" s="2"/>
      <c r="I939" s="2"/>
      <c r="J939" s="2"/>
      <c r="K939" s="2"/>
      <c r="L939" s="2"/>
      <c r="M939" s="2"/>
      <c r="N939" s="2"/>
    </row>
    <row r="940" ht="15.75" hidden="1" customHeight="1">
      <c r="A940" s="2"/>
      <c r="B940" s="2"/>
      <c r="C940" s="2"/>
      <c r="D940" s="3"/>
      <c r="E940" s="4"/>
      <c r="F940" s="5"/>
      <c r="G940" s="31"/>
      <c r="H940" s="2"/>
      <c r="I940" s="2"/>
      <c r="J940" s="2"/>
      <c r="K940" s="2"/>
      <c r="L940" s="2"/>
      <c r="M940" s="2"/>
      <c r="N940" s="2"/>
    </row>
    <row r="941" ht="15.75" hidden="1" customHeight="1">
      <c r="A941" s="2"/>
      <c r="B941" s="2"/>
      <c r="C941" s="2"/>
      <c r="D941" s="3"/>
      <c r="E941" s="4"/>
      <c r="F941" s="5"/>
      <c r="G941" s="31"/>
      <c r="H941" s="2"/>
      <c r="I941" s="2"/>
      <c r="J941" s="2"/>
      <c r="K941" s="2"/>
      <c r="L941" s="2"/>
      <c r="M941" s="2"/>
      <c r="N941" s="2"/>
    </row>
    <row r="942" ht="15.75" hidden="1" customHeight="1">
      <c r="A942" s="2"/>
      <c r="B942" s="2"/>
      <c r="C942" s="2"/>
      <c r="D942" s="3"/>
      <c r="E942" s="4"/>
      <c r="F942" s="5"/>
      <c r="G942" s="31"/>
      <c r="H942" s="2"/>
      <c r="I942" s="2"/>
      <c r="J942" s="2"/>
      <c r="K942" s="2"/>
      <c r="L942" s="2"/>
      <c r="M942" s="2"/>
      <c r="N942" s="2"/>
    </row>
    <row r="943" ht="15.75" hidden="1" customHeight="1">
      <c r="A943" s="2"/>
      <c r="B943" s="2"/>
      <c r="C943" s="2"/>
      <c r="D943" s="3"/>
      <c r="E943" s="4"/>
      <c r="F943" s="5"/>
      <c r="G943" s="31"/>
      <c r="H943" s="2"/>
      <c r="I943" s="2"/>
      <c r="J943" s="2"/>
      <c r="K943" s="2"/>
      <c r="L943" s="2"/>
      <c r="M943" s="2"/>
      <c r="N943" s="2"/>
    </row>
    <row r="944" ht="15.75" hidden="1" customHeight="1">
      <c r="A944" s="2"/>
      <c r="B944" s="2"/>
      <c r="C944" s="2"/>
      <c r="D944" s="3"/>
      <c r="E944" s="4"/>
      <c r="F944" s="5"/>
      <c r="G944" s="31"/>
      <c r="H944" s="2"/>
      <c r="I944" s="2"/>
      <c r="J944" s="2"/>
      <c r="K944" s="2"/>
      <c r="L944" s="2"/>
      <c r="M944" s="2"/>
      <c r="N944" s="2"/>
    </row>
    <row r="945" ht="15.75" hidden="1" customHeight="1">
      <c r="A945" s="2"/>
      <c r="B945" s="2"/>
      <c r="C945" s="2"/>
      <c r="D945" s="3"/>
      <c r="E945" s="4"/>
      <c r="F945" s="5"/>
      <c r="G945" s="31"/>
      <c r="H945" s="2"/>
      <c r="I945" s="2"/>
      <c r="J945" s="2"/>
      <c r="K945" s="2"/>
      <c r="L945" s="2"/>
      <c r="M945" s="2"/>
      <c r="N945" s="2"/>
    </row>
    <row r="946" ht="15.75" hidden="1" customHeight="1">
      <c r="A946" s="2"/>
      <c r="B946" s="2"/>
      <c r="C946" s="2"/>
      <c r="D946" s="3"/>
      <c r="E946" s="4"/>
      <c r="F946" s="5"/>
      <c r="G946" s="31"/>
      <c r="H946" s="2"/>
      <c r="I946" s="2"/>
      <c r="J946" s="2"/>
      <c r="K946" s="2"/>
      <c r="L946" s="2"/>
      <c r="M946" s="2"/>
      <c r="N946" s="2"/>
    </row>
    <row r="947" ht="15.75" hidden="1" customHeight="1">
      <c r="A947" s="2"/>
      <c r="B947" s="2"/>
      <c r="C947" s="2"/>
      <c r="D947" s="3"/>
      <c r="E947" s="4"/>
      <c r="F947" s="5"/>
      <c r="G947" s="31"/>
      <c r="H947" s="2"/>
      <c r="I947" s="2"/>
      <c r="J947" s="2"/>
      <c r="K947" s="2"/>
      <c r="L947" s="2"/>
      <c r="M947" s="2"/>
      <c r="N947" s="2"/>
    </row>
    <row r="948" ht="15.75" hidden="1" customHeight="1">
      <c r="A948" s="2"/>
      <c r="B948" s="2"/>
      <c r="C948" s="2"/>
      <c r="D948" s="3"/>
      <c r="E948" s="4"/>
      <c r="F948" s="5"/>
      <c r="G948" s="31"/>
      <c r="H948" s="2"/>
      <c r="I948" s="2"/>
      <c r="J948" s="2"/>
      <c r="K948" s="2"/>
      <c r="L948" s="2"/>
      <c r="M948" s="2"/>
      <c r="N948" s="2"/>
    </row>
    <row r="949" ht="15.75" hidden="1" customHeight="1">
      <c r="A949" s="2"/>
      <c r="B949" s="2"/>
      <c r="C949" s="2"/>
      <c r="D949" s="3"/>
      <c r="E949" s="4"/>
      <c r="F949" s="5"/>
      <c r="G949" s="31"/>
      <c r="H949" s="2"/>
      <c r="I949" s="2"/>
      <c r="J949" s="2"/>
      <c r="K949" s="2"/>
      <c r="L949" s="2"/>
      <c r="M949" s="2"/>
      <c r="N949" s="2"/>
    </row>
    <row r="950" ht="15.75" hidden="1" customHeight="1">
      <c r="A950" s="2"/>
      <c r="B950" s="2"/>
      <c r="C950" s="2"/>
      <c r="D950" s="3"/>
      <c r="E950" s="4"/>
      <c r="F950" s="5"/>
      <c r="G950" s="31"/>
      <c r="H950" s="2"/>
      <c r="I950" s="2"/>
      <c r="J950" s="2"/>
      <c r="K950" s="2"/>
      <c r="L950" s="2"/>
      <c r="M950" s="2"/>
      <c r="N950" s="2"/>
    </row>
    <row r="951" ht="15.75" hidden="1" customHeight="1">
      <c r="A951" s="2"/>
      <c r="B951" s="2"/>
      <c r="C951" s="2"/>
      <c r="D951" s="3"/>
      <c r="E951" s="4"/>
      <c r="F951" s="5"/>
      <c r="G951" s="31"/>
      <c r="H951" s="2"/>
      <c r="I951" s="2"/>
      <c r="J951" s="2"/>
      <c r="K951" s="2"/>
      <c r="L951" s="2"/>
      <c r="M951" s="2"/>
      <c r="N951" s="2"/>
    </row>
    <row r="952" ht="15.75" hidden="1" customHeight="1">
      <c r="A952" s="2"/>
      <c r="B952" s="2"/>
      <c r="C952" s="2"/>
      <c r="D952" s="3"/>
      <c r="E952" s="4"/>
      <c r="F952" s="5"/>
      <c r="G952" s="31"/>
      <c r="H952" s="2"/>
      <c r="I952" s="2"/>
      <c r="J952" s="2"/>
      <c r="K952" s="2"/>
      <c r="L952" s="2"/>
      <c r="M952" s="2"/>
      <c r="N952" s="2"/>
    </row>
    <row r="953" ht="15.75" hidden="1" customHeight="1">
      <c r="A953" s="2"/>
      <c r="B953" s="2"/>
      <c r="C953" s="2"/>
      <c r="D953" s="3"/>
      <c r="E953" s="4"/>
      <c r="F953" s="5"/>
      <c r="G953" s="31"/>
      <c r="H953" s="2"/>
      <c r="I953" s="2"/>
      <c r="J953" s="2"/>
      <c r="K953" s="2"/>
      <c r="L953" s="2"/>
      <c r="M953" s="2"/>
      <c r="N953" s="2"/>
    </row>
    <row r="954" ht="15.75" hidden="1" customHeight="1">
      <c r="A954" s="2"/>
      <c r="B954" s="2"/>
      <c r="C954" s="2"/>
      <c r="D954" s="3"/>
      <c r="E954" s="4"/>
      <c r="F954" s="5"/>
      <c r="G954" s="31"/>
      <c r="H954" s="2"/>
      <c r="I954" s="2"/>
      <c r="J954" s="2"/>
      <c r="K954" s="2"/>
      <c r="L954" s="2"/>
      <c r="M954" s="2"/>
      <c r="N954" s="2"/>
    </row>
    <row r="955" ht="15.75" hidden="1" customHeight="1">
      <c r="A955" s="2"/>
      <c r="B955" s="2"/>
      <c r="C955" s="2"/>
      <c r="D955" s="3"/>
      <c r="E955" s="4"/>
      <c r="F955" s="5"/>
      <c r="G955" s="31"/>
      <c r="H955" s="2"/>
      <c r="I955" s="2"/>
      <c r="J955" s="2"/>
      <c r="K955" s="2"/>
      <c r="L955" s="2"/>
      <c r="M955" s="2"/>
      <c r="N955" s="2"/>
    </row>
    <row r="956" ht="15.75" hidden="1" customHeight="1">
      <c r="A956" s="2"/>
      <c r="B956" s="2"/>
      <c r="C956" s="2"/>
      <c r="D956" s="3"/>
      <c r="E956" s="4"/>
      <c r="F956" s="5"/>
      <c r="G956" s="31"/>
      <c r="H956" s="2"/>
      <c r="I956" s="2"/>
      <c r="J956" s="2"/>
      <c r="K956" s="2"/>
      <c r="L956" s="2"/>
      <c r="M956" s="2"/>
      <c r="N956" s="2"/>
    </row>
    <row r="957" ht="15.75" hidden="1" customHeight="1">
      <c r="A957" s="2"/>
      <c r="B957" s="2"/>
      <c r="C957" s="2"/>
      <c r="D957" s="3"/>
      <c r="E957" s="4"/>
      <c r="F957" s="5"/>
      <c r="G957" s="31"/>
      <c r="H957" s="2"/>
      <c r="I957" s="2"/>
      <c r="J957" s="2"/>
      <c r="K957" s="2"/>
      <c r="L957" s="2"/>
      <c r="M957" s="2"/>
      <c r="N957" s="2"/>
    </row>
    <row r="958" ht="15.75" hidden="1" customHeight="1">
      <c r="A958" s="2"/>
      <c r="B958" s="2"/>
      <c r="C958" s="2"/>
      <c r="D958" s="3"/>
      <c r="E958" s="4"/>
      <c r="F958" s="5"/>
      <c r="G958" s="31"/>
      <c r="H958" s="2"/>
      <c r="I958" s="2"/>
      <c r="J958" s="2"/>
      <c r="K958" s="2"/>
      <c r="L958" s="2"/>
      <c r="M958" s="2"/>
      <c r="N958" s="2"/>
    </row>
    <row r="959" ht="15.75" hidden="1" customHeight="1">
      <c r="A959" s="2"/>
      <c r="B959" s="2"/>
      <c r="C959" s="2"/>
      <c r="D959" s="3"/>
      <c r="E959" s="4"/>
      <c r="F959" s="5"/>
      <c r="G959" s="31"/>
      <c r="H959" s="2"/>
      <c r="I959" s="2"/>
      <c r="J959" s="2"/>
      <c r="K959" s="2"/>
      <c r="L959" s="2"/>
      <c r="M959" s="2"/>
      <c r="N959" s="2"/>
    </row>
    <row r="960" ht="15.75" hidden="1" customHeight="1">
      <c r="A960" s="2"/>
      <c r="B960" s="2"/>
      <c r="C960" s="2"/>
      <c r="D960" s="3"/>
      <c r="E960" s="4"/>
      <c r="F960" s="5"/>
      <c r="G960" s="31"/>
      <c r="H960" s="2"/>
      <c r="I960" s="2"/>
      <c r="J960" s="2"/>
      <c r="K960" s="2"/>
      <c r="L960" s="2"/>
      <c r="M960" s="2"/>
      <c r="N960" s="2"/>
    </row>
    <row r="961" ht="15.75" hidden="1" customHeight="1">
      <c r="A961" s="2"/>
      <c r="B961" s="2"/>
      <c r="C961" s="2"/>
      <c r="D961" s="3"/>
      <c r="E961" s="4"/>
      <c r="F961" s="5"/>
      <c r="G961" s="31"/>
      <c r="H961" s="2"/>
      <c r="I961" s="2"/>
      <c r="J961" s="2"/>
      <c r="K961" s="2"/>
      <c r="L961" s="2"/>
      <c r="M961" s="2"/>
      <c r="N961" s="2"/>
    </row>
    <row r="962" ht="15.75" hidden="1" customHeight="1">
      <c r="A962" s="2"/>
      <c r="B962" s="2"/>
      <c r="C962" s="2"/>
      <c r="D962" s="3"/>
      <c r="E962" s="4"/>
      <c r="F962" s="5"/>
      <c r="G962" s="31"/>
      <c r="H962" s="2"/>
      <c r="I962" s="2"/>
      <c r="J962" s="2"/>
      <c r="K962" s="2"/>
      <c r="L962" s="2"/>
      <c r="M962" s="2"/>
      <c r="N962" s="2"/>
    </row>
    <row r="963" ht="15.75" hidden="1" customHeight="1">
      <c r="A963" s="2"/>
      <c r="B963" s="2"/>
      <c r="C963" s="2"/>
      <c r="D963" s="3"/>
      <c r="E963" s="4"/>
      <c r="F963" s="5"/>
      <c r="G963" s="31"/>
      <c r="H963" s="2"/>
      <c r="I963" s="2"/>
      <c r="J963" s="2"/>
      <c r="K963" s="2"/>
      <c r="L963" s="2"/>
      <c r="M963" s="2"/>
      <c r="N963" s="2"/>
    </row>
    <row r="964" ht="15.75" hidden="1" customHeight="1">
      <c r="A964" s="2"/>
      <c r="B964" s="2"/>
      <c r="C964" s="2"/>
      <c r="D964" s="3"/>
      <c r="E964" s="4"/>
      <c r="F964" s="5"/>
      <c r="G964" s="31"/>
      <c r="H964" s="2"/>
      <c r="I964" s="2"/>
      <c r="J964" s="2"/>
      <c r="K964" s="2"/>
      <c r="L964" s="2"/>
      <c r="M964" s="2"/>
      <c r="N964" s="2"/>
    </row>
    <row r="965" ht="15.75" hidden="1" customHeight="1">
      <c r="A965" s="2"/>
      <c r="B965" s="2"/>
      <c r="C965" s="2"/>
      <c r="D965" s="3"/>
      <c r="E965" s="4"/>
      <c r="F965" s="5"/>
      <c r="G965" s="31"/>
      <c r="H965" s="2"/>
      <c r="I965" s="2"/>
      <c r="J965" s="2"/>
      <c r="K965" s="2"/>
      <c r="L965" s="2"/>
      <c r="M965" s="2"/>
      <c r="N965" s="2"/>
    </row>
    <row r="966" ht="15.75" hidden="1" customHeight="1">
      <c r="A966" s="2"/>
      <c r="B966" s="2"/>
      <c r="C966" s="2"/>
      <c r="D966" s="3"/>
      <c r="E966" s="4"/>
      <c r="F966" s="5"/>
      <c r="G966" s="31"/>
      <c r="H966" s="2"/>
      <c r="I966" s="2"/>
      <c r="J966" s="2"/>
      <c r="K966" s="2"/>
      <c r="L966" s="2"/>
      <c r="M966" s="2"/>
      <c r="N966" s="2"/>
    </row>
    <row r="967" ht="15.75" hidden="1" customHeight="1">
      <c r="A967" s="2"/>
      <c r="B967" s="2"/>
      <c r="C967" s="2"/>
      <c r="D967" s="3"/>
      <c r="E967" s="4"/>
      <c r="F967" s="5"/>
      <c r="G967" s="31"/>
      <c r="H967" s="2"/>
      <c r="I967" s="2"/>
      <c r="J967" s="2"/>
      <c r="K967" s="2"/>
      <c r="L967" s="2"/>
      <c r="M967" s="2"/>
      <c r="N967" s="2"/>
    </row>
    <row r="968" ht="15.75" hidden="1" customHeight="1">
      <c r="A968" s="2"/>
      <c r="B968" s="2"/>
      <c r="C968" s="2"/>
      <c r="D968" s="3"/>
      <c r="E968" s="4"/>
      <c r="F968" s="5"/>
      <c r="G968" s="31"/>
      <c r="H968" s="2"/>
      <c r="I968" s="2"/>
      <c r="J968" s="2"/>
      <c r="K968" s="2"/>
      <c r="L968" s="2"/>
      <c r="M968" s="2"/>
      <c r="N968" s="2"/>
    </row>
    <row r="969" ht="15.75" hidden="1" customHeight="1">
      <c r="A969" s="2"/>
      <c r="B969" s="2"/>
      <c r="C969" s="2"/>
      <c r="D969" s="3"/>
      <c r="E969" s="4"/>
      <c r="F969" s="5"/>
      <c r="G969" s="31"/>
      <c r="H969" s="2"/>
      <c r="I969" s="2"/>
      <c r="J969" s="2"/>
      <c r="K969" s="2"/>
      <c r="L969" s="2"/>
      <c r="M969" s="2"/>
      <c r="N969" s="2"/>
    </row>
    <row r="970" ht="15.75" hidden="1" customHeight="1">
      <c r="A970" s="2"/>
      <c r="B970" s="2"/>
      <c r="C970" s="2"/>
      <c r="D970" s="3"/>
      <c r="E970" s="4"/>
      <c r="F970" s="5"/>
      <c r="G970" s="31"/>
      <c r="H970" s="2"/>
      <c r="I970" s="2"/>
      <c r="J970" s="2"/>
      <c r="K970" s="2"/>
      <c r="L970" s="2"/>
      <c r="M970" s="2"/>
      <c r="N970" s="2"/>
    </row>
    <row r="971" ht="15.75" hidden="1" customHeight="1">
      <c r="A971" s="2"/>
      <c r="B971" s="2"/>
      <c r="C971" s="2"/>
      <c r="D971" s="3"/>
      <c r="E971" s="4"/>
      <c r="F971" s="5"/>
      <c r="G971" s="31"/>
      <c r="H971" s="2"/>
      <c r="I971" s="2"/>
      <c r="J971" s="2"/>
      <c r="K971" s="2"/>
      <c r="L971" s="2"/>
      <c r="M971" s="2"/>
      <c r="N971" s="2"/>
    </row>
    <row r="972" ht="15.75" hidden="1" customHeight="1">
      <c r="A972" s="2"/>
      <c r="B972" s="2"/>
      <c r="C972" s="2"/>
      <c r="D972" s="3"/>
      <c r="E972" s="4"/>
      <c r="F972" s="5"/>
      <c r="G972" s="31"/>
      <c r="H972" s="2"/>
      <c r="I972" s="2"/>
      <c r="J972" s="2"/>
      <c r="K972" s="2"/>
      <c r="L972" s="2"/>
      <c r="M972" s="2"/>
      <c r="N972" s="2"/>
    </row>
    <row r="973" ht="15.75" hidden="1" customHeight="1">
      <c r="A973" s="2"/>
      <c r="B973" s="2"/>
      <c r="C973" s="2"/>
      <c r="D973" s="3"/>
      <c r="E973" s="4"/>
      <c r="F973" s="5"/>
      <c r="G973" s="31"/>
      <c r="H973" s="2"/>
      <c r="I973" s="2"/>
      <c r="J973" s="2"/>
      <c r="K973" s="2"/>
      <c r="L973" s="2"/>
      <c r="M973" s="2"/>
      <c r="N973" s="2"/>
    </row>
    <row r="974" ht="15.75" hidden="1" customHeight="1">
      <c r="A974" s="2"/>
      <c r="B974" s="2"/>
      <c r="C974" s="2"/>
      <c r="D974" s="3"/>
      <c r="E974" s="4"/>
      <c r="F974" s="5"/>
      <c r="G974" s="31"/>
      <c r="H974" s="2"/>
      <c r="I974" s="2"/>
      <c r="J974" s="2"/>
      <c r="K974" s="2"/>
      <c r="L974" s="2"/>
      <c r="M974" s="2"/>
      <c r="N974" s="2"/>
    </row>
    <row r="975" ht="15.75" hidden="1" customHeight="1">
      <c r="A975" s="2"/>
      <c r="B975" s="2"/>
      <c r="C975" s="2"/>
      <c r="D975" s="3"/>
      <c r="E975" s="4"/>
      <c r="F975" s="5"/>
      <c r="G975" s="31"/>
      <c r="H975" s="2"/>
      <c r="I975" s="2"/>
      <c r="J975" s="2"/>
      <c r="K975" s="2"/>
      <c r="L975" s="2"/>
      <c r="M975" s="2"/>
      <c r="N975" s="2"/>
    </row>
    <row r="976" ht="15.75" hidden="1" customHeight="1">
      <c r="A976" s="2"/>
      <c r="B976" s="2"/>
      <c r="C976" s="2"/>
      <c r="D976" s="3"/>
      <c r="E976" s="4"/>
      <c r="F976" s="5"/>
      <c r="G976" s="31"/>
      <c r="H976" s="2"/>
      <c r="I976" s="2"/>
      <c r="J976" s="2"/>
      <c r="K976" s="2"/>
      <c r="L976" s="2"/>
      <c r="M976" s="2"/>
      <c r="N976" s="2"/>
    </row>
    <row r="977" ht="15.75" hidden="1" customHeight="1">
      <c r="A977" s="2"/>
      <c r="B977" s="2"/>
      <c r="C977" s="2"/>
      <c r="D977" s="3"/>
      <c r="E977" s="4"/>
      <c r="F977" s="5"/>
      <c r="G977" s="31"/>
      <c r="H977" s="2"/>
      <c r="I977" s="2"/>
      <c r="J977" s="2"/>
      <c r="K977" s="2"/>
      <c r="L977" s="2"/>
      <c r="M977" s="2"/>
      <c r="N977" s="2"/>
    </row>
    <row r="978" ht="15.75" hidden="1" customHeight="1">
      <c r="A978" s="2"/>
      <c r="B978" s="2"/>
      <c r="C978" s="2"/>
      <c r="D978" s="3"/>
      <c r="E978" s="4"/>
      <c r="F978" s="5"/>
      <c r="G978" s="31"/>
      <c r="H978" s="2"/>
      <c r="I978" s="2"/>
      <c r="J978" s="2"/>
      <c r="K978" s="2"/>
      <c r="L978" s="2"/>
      <c r="M978" s="2"/>
      <c r="N978" s="2"/>
    </row>
    <row r="979" ht="15.75" hidden="1" customHeight="1">
      <c r="A979" s="2"/>
      <c r="B979" s="2"/>
      <c r="C979" s="2"/>
      <c r="D979" s="3"/>
      <c r="E979" s="4"/>
      <c r="F979" s="5"/>
      <c r="G979" s="31"/>
      <c r="H979" s="2"/>
      <c r="I979" s="2"/>
      <c r="J979" s="2"/>
      <c r="K979" s="2"/>
      <c r="L979" s="2"/>
      <c r="M979" s="2"/>
      <c r="N979" s="2"/>
    </row>
    <row r="980" ht="15.75" hidden="1" customHeight="1">
      <c r="A980" s="2"/>
      <c r="B980" s="2"/>
      <c r="C980" s="2"/>
      <c r="D980" s="3"/>
      <c r="E980" s="4"/>
      <c r="F980" s="5"/>
      <c r="G980" s="31"/>
      <c r="H980" s="2"/>
      <c r="I980" s="2"/>
      <c r="J980" s="2"/>
      <c r="K980" s="2"/>
      <c r="L980" s="2"/>
      <c r="M980" s="2"/>
      <c r="N980" s="2"/>
    </row>
    <row r="981" ht="15.75" hidden="1" customHeight="1">
      <c r="A981" s="2"/>
      <c r="B981" s="2"/>
      <c r="C981" s="2"/>
      <c r="D981" s="3"/>
      <c r="E981" s="4"/>
      <c r="F981" s="5"/>
      <c r="G981" s="31"/>
      <c r="H981" s="2"/>
      <c r="I981" s="2"/>
      <c r="J981" s="2"/>
      <c r="K981" s="2"/>
      <c r="L981" s="2"/>
      <c r="M981" s="2"/>
      <c r="N981" s="2"/>
    </row>
    <row r="982" ht="15.75" hidden="1" customHeight="1">
      <c r="A982" s="2"/>
      <c r="B982" s="2"/>
      <c r="C982" s="2"/>
      <c r="D982" s="3"/>
      <c r="E982" s="4"/>
      <c r="F982" s="5"/>
      <c r="G982" s="31"/>
      <c r="H982" s="2"/>
      <c r="I982" s="2"/>
      <c r="J982" s="2"/>
      <c r="K982" s="2"/>
      <c r="L982" s="2"/>
      <c r="M982" s="2"/>
      <c r="N982" s="2"/>
    </row>
    <row r="983" ht="15.75" hidden="1" customHeight="1">
      <c r="A983" s="2"/>
      <c r="B983" s="2"/>
      <c r="C983" s="2"/>
      <c r="D983" s="3"/>
      <c r="E983" s="4"/>
      <c r="F983" s="5"/>
      <c r="G983" s="31"/>
      <c r="H983" s="2"/>
      <c r="I983" s="2"/>
      <c r="J983" s="2"/>
      <c r="K983" s="2"/>
      <c r="L983" s="2"/>
      <c r="M983" s="2"/>
      <c r="N983" s="2"/>
    </row>
    <row r="984" ht="15.75" hidden="1" customHeight="1">
      <c r="A984" s="2"/>
      <c r="B984" s="2"/>
      <c r="C984" s="2"/>
      <c r="D984" s="3"/>
      <c r="E984" s="4"/>
      <c r="F984" s="5"/>
      <c r="G984" s="31"/>
      <c r="H984" s="2"/>
      <c r="I984" s="2"/>
      <c r="J984" s="2"/>
      <c r="K984" s="2"/>
      <c r="L984" s="2"/>
      <c r="M984" s="2"/>
      <c r="N984" s="2"/>
    </row>
    <row r="985" ht="15.75" hidden="1" customHeight="1">
      <c r="A985" s="2"/>
      <c r="B985" s="2"/>
      <c r="C985" s="2"/>
      <c r="D985" s="3"/>
      <c r="E985" s="4"/>
      <c r="F985" s="5"/>
      <c r="G985" s="31"/>
      <c r="H985" s="2"/>
      <c r="I985" s="2"/>
      <c r="J985" s="2"/>
      <c r="K985" s="2"/>
      <c r="L985" s="2"/>
      <c r="M985" s="2"/>
      <c r="N985" s="2"/>
    </row>
    <row r="986" ht="15.75" hidden="1" customHeight="1">
      <c r="A986" s="2"/>
      <c r="B986" s="2"/>
      <c r="C986" s="2"/>
      <c r="D986" s="3"/>
      <c r="E986" s="4"/>
      <c r="F986" s="5"/>
      <c r="G986" s="31"/>
      <c r="H986" s="2"/>
      <c r="I986" s="2"/>
      <c r="J986" s="2"/>
      <c r="K986" s="2"/>
      <c r="L986" s="2"/>
      <c r="M986" s="2"/>
      <c r="N986" s="2"/>
    </row>
    <row r="987" ht="15.75" hidden="1" customHeight="1">
      <c r="A987" s="2"/>
      <c r="B987" s="2"/>
      <c r="C987" s="2"/>
      <c r="D987" s="3"/>
      <c r="E987" s="4"/>
      <c r="F987" s="5"/>
      <c r="G987" s="31"/>
      <c r="H987" s="2"/>
      <c r="I987" s="2"/>
      <c r="J987" s="2"/>
      <c r="K987" s="2"/>
      <c r="L987" s="2"/>
      <c r="M987" s="2"/>
      <c r="N987" s="2"/>
    </row>
    <row r="988" ht="15.75" hidden="1" customHeight="1">
      <c r="A988" s="2"/>
      <c r="B988" s="2"/>
      <c r="C988" s="2"/>
      <c r="D988" s="3"/>
      <c r="E988" s="4"/>
      <c r="F988" s="5"/>
      <c r="G988" s="31"/>
      <c r="H988" s="2"/>
      <c r="I988" s="2"/>
      <c r="J988" s="2"/>
      <c r="K988" s="2"/>
      <c r="L988" s="2"/>
      <c r="M988" s="2"/>
      <c r="N988" s="2"/>
    </row>
    <row r="989" ht="15.75" hidden="1" customHeight="1">
      <c r="A989" s="2"/>
      <c r="B989" s="2"/>
      <c r="C989" s="2"/>
      <c r="D989" s="3"/>
      <c r="E989" s="4"/>
      <c r="F989" s="5"/>
      <c r="G989" s="31"/>
      <c r="H989" s="2"/>
      <c r="I989" s="2"/>
      <c r="J989" s="2"/>
      <c r="K989" s="2"/>
      <c r="L989" s="2"/>
      <c r="M989" s="2"/>
      <c r="N989" s="2"/>
    </row>
    <row r="990" ht="15.75" hidden="1" customHeight="1">
      <c r="A990" s="2"/>
      <c r="B990" s="2"/>
      <c r="C990" s="2"/>
      <c r="D990" s="3"/>
      <c r="E990" s="4"/>
      <c r="F990" s="5"/>
      <c r="G990" s="31"/>
      <c r="H990" s="2"/>
      <c r="I990" s="2"/>
      <c r="J990" s="2"/>
      <c r="K990" s="2"/>
      <c r="L990" s="2"/>
      <c r="M990" s="2"/>
      <c r="N990" s="2"/>
    </row>
    <row r="991" ht="15.75" hidden="1" customHeight="1">
      <c r="A991" s="2"/>
      <c r="B991" s="2"/>
      <c r="C991" s="2"/>
      <c r="D991" s="3"/>
      <c r="E991" s="4"/>
      <c r="F991" s="5"/>
      <c r="G991" s="31"/>
      <c r="H991" s="2"/>
      <c r="I991" s="2"/>
      <c r="J991" s="2"/>
      <c r="K991" s="2"/>
      <c r="L991" s="2"/>
      <c r="M991" s="2"/>
      <c r="N991" s="2"/>
    </row>
    <row r="992" ht="15.75" hidden="1" customHeight="1">
      <c r="A992" s="2"/>
      <c r="B992" s="2"/>
      <c r="C992" s="2"/>
      <c r="D992" s="3"/>
      <c r="E992" s="4"/>
      <c r="F992" s="5"/>
      <c r="G992" s="31"/>
      <c r="H992" s="2"/>
      <c r="I992" s="2"/>
      <c r="J992" s="2"/>
      <c r="K992" s="2"/>
      <c r="L992" s="2"/>
      <c r="M992" s="2"/>
      <c r="N992" s="2"/>
    </row>
    <row r="993" ht="15.75" hidden="1" customHeight="1">
      <c r="A993" s="2"/>
      <c r="B993" s="2"/>
      <c r="C993" s="2"/>
      <c r="D993" s="3"/>
      <c r="E993" s="4"/>
      <c r="F993" s="5"/>
      <c r="G993" s="31"/>
      <c r="H993" s="2"/>
      <c r="I993" s="2"/>
      <c r="J993" s="2"/>
      <c r="K993" s="2"/>
      <c r="L993" s="2"/>
      <c r="M993" s="2"/>
      <c r="N993" s="2"/>
    </row>
    <row r="994" ht="15.75" hidden="1" customHeight="1">
      <c r="A994" s="2"/>
      <c r="B994" s="2"/>
      <c r="C994" s="2"/>
      <c r="D994" s="3"/>
      <c r="E994" s="4"/>
      <c r="F994" s="5"/>
      <c r="G994" s="31"/>
      <c r="H994" s="2"/>
      <c r="I994" s="2"/>
      <c r="J994" s="2"/>
      <c r="K994" s="2"/>
      <c r="L994" s="2"/>
      <c r="M994" s="2"/>
      <c r="N994" s="2"/>
    </row>
    <row r="995" ht="15.75" hidden="1" customHeight="1">
      <c r="A995" s="2"/>
      <c r="B995" s="2"/>
      <c r="C995" s="2"/>
      <c r="D995" s="3"/>
      <c r="E995" s="4"/>
      <c r="F995" s="5"/>
      <c r="G995" s="31"/>
      <c r="H995" s="2"/>
      <c r="I995" s="2"/>
      <c r="J995" s="2"/>
      <c r="K995" s="2"/>
      <c r="L995" s="2"/>
      <c r="M995" s="2"/>
      <c r="N995" s="2"/>
    </row>
    <row r="996" ht="15.75" hidden="1" customHeight="1">
      <c r="A996" s="2"/>
      <c r="B996" s="2"/>
      <c r="C996" s="2"/>
      <c r="D996" s="3"/>
      <c r="E996" s="4"/>
      <c r="F996" s="5"/>
      <c r="G996" s="31"/>
      <c r="H996" s="2"/>
      <c r="I996" s="2"/>
      <c r="J996" s="2"/>
      <c r="K996" s="2"/>
      <c r="L996" s="2"/>
      <c r="M996" s="2"/>
      <c r="N996" s="2"/>
    </row>
    <row r="997" ht="15.75" hidden="1" customHeight="1">
      <c r="A997" s="2"/>
      <c r="B997" s="2"/>
      <c r="C997" s="2"/>
      <c r="D997" s="3"/>
      <c r="E997" s="4"/>
      <c r="F997" s="5"/>
      <c r="G997" s="31"/>
      <c r="H997" s="2"/>
      <c r="I997" s="2"/>
      <c r="J997" s="2"/>
      <c r="K997" s="2"/>
      <c r="L997" s="2"/>
      <c r="M997" s="2"/>
      <c r="N997" s="2"/>
    </row>
    <row r="998" ht="15.75" hidden="1" customHeight="1">
      <c r="A998" s="2"/>
      <c r="B998" s="2"/>
      <c r="C998" s="2"/>
      <c r="D998" s="3"/>
      <c r="E998" s="4"/>
      <c r="F998" s="5"/>
      <c r="G998" s="31"/>
      <c r="H998" s="2"/>
      <c r="I998" s="2"/>
      <c r="J998" s="2"/>
      <c r="K998" s="2"/>
      <c r="L998" s="2"/>
      <c r="M998" s="2"/>
      <c r="N998" s="2"/>
    </row>
    <row r="999" ht="15.75" hidden="1" customHeight="1">
      <c r="A999" s="2"/>
      <c r="B999" s="2"/>
      <c r="C999" s="2"/>
      <c r="D999" s="3"/>
      <c r="E999" s="4"/>
      <c r="F999" s="5"/>
      <c r="G999" s="31"/>
      <c r="H999" s="2"/>
      <c r="I999" s="2"/>
      <c r="J999" s="2"/>
      <c r="K999" s="2"/>
      <c r="L999" s="2"/>
      <c r="M999" s="2"/>
      <c r="N999" s="2"/>
    </row>
    <row r="1000" ht="15.75" hidden="1" customHeight="1">
      <c r="A1000" s="2"/>
      <c r="B1000" s="2"/>
      <c r="C1000" s="2"/>
      <c r="D1000" s="3"/>
      <c r="E1000" s="4"/>
      <c r="F1000" s="5"/>
      <c r="G1000" s="31"/>
      <c r="H1000" s="2"/>
      <c r="I1000" s="2"/>
      <c r="J1000" s="2"/>
      <c r="K1000" s="2"/>
      <c r="L1000" s="2"/>
      <c r="M1000" s="2"/>
      <c r="N1000" s="2"/>
    </row>
  </sheetData>
  <autoFilter ref="$A$1:$N$1000">
    <filterColumn colId="4">
      <filters>
        <filter val="45"/>
        <filter val="46"/>
        <filter val="48"/>
        <filter val="114"/>
        <filter val="436"/>
        <filter val="51"/>
        <filter val="10"/>
        <filter val="98"/>
        <filter val="54"/>
        <filter val="11"/>
        <filter val="12"/>
        <filter val="13"/>
        <filter val="15"/>
        <filter val="59"/>
        <filter val="16"/>
        <filter val="18"/>
        <filter val="1"/>
        <filter val="2"/>
        <filter val="3"/>
        <filter val="4"/>
        <filter val="5"/>
        <filter val="6"/>
        <filter val="7"/>
        <filter val="8"/>
        <filter val="9"/>
        <filter val="60"/>
        <filter val="庫存量/瓶"/>
        <filter val="20"/>
        <filter val="21"/>
        <filter val="22"/>
        <filter val="23"/>
        <filter val="24"/>
        <filter val="27"/>
        <filter val="28"/>
        <filter val="七銘庫存量/瓶"/>
        <filter val="72"/>
        <filter val="30"/>
        <filter val="31"/>
        <filter val="32"/>
        <filter val="34"/>
        <filter val="5174"/>
        <filter val="35"/>
        <filter val="36"/>
        <filter val="38"/>
        <filter val="40"/>
        <filter val="41"/>
        <filter val="42"/>
        <filter val="43"/>
      </filters>
    </filterColumn>
  </autoFilter>
  <mergeCells count="39">
    <mergeCell ref="A190:C190"/>
    <mergeCell ref="E191:F191"/>
    <mergeCell ref="A229:C229"/>
    <mergeCell ref="E230:F230"/>
    <mergeCell ref="A237:C237"/>
    <mergeCell ref="A238:C238"/>
    <mergeCell ref="A298:C298"/>
    <mergeCell ref="E299:F299"/>
    <mergeCell ref="A347:C347"/>
    <mergeCell ref="E348:F348"/>
    <mergeCell ref="E400:F400"/>
    <mergeCell ref="E404:F404"/>
    <mergeCell ref="A360:C360"/>
    <mergeCell ref="A399:C399"/>
    <mergeCell ref="A403:C403"/>
    <mergeCell ref="A407:C407"/>
    <mergeCell ref="E408:F408"/>
    <mergeCell ref="A428:C428"/>
    <mergeCell ref="G430:G441"/>
    <mergeCell ref="G446:G505"/>
    <mergeCell ref="E429:F429"/>
    <mergeCell ref="A442:B442"/>
    <mergeCell ref="E445:F445"/>
    <mergeCell ref="E2:F2"/>
    <mergeCell ref="A3:C3"/>
    <mergeCell ref="A4:C4"/>
    <mergeCell ref="E5:F5"/>
    <mergeCell ref="A46:C46"/>
    <mergeCell ref="E47:F47"/>
    <mergeCell ref="A56:C56"/>
    <mergeCell ref="E57:F57"/>
    <mergeCell ref="A68:C68"/>
    <mergeCell ref="A125:C125"/>
    <mergeCell ref="E126:F126"/>
    <mergeCell ref="E69:F69"/>
    <mergeCell ref="E361:F361"/>
    <mergeCell ref="E239:F239"/>
    <mergeCell ref="A290:C290"/>
    <mergeCell ref="E291:F291"/>
  </mergeCells>
  <hyperlinks>
    <hyperlink r:id="rId1" ref="H85"/>
  </hyperlinks>
  <printOptions/>
  <pageMargins bottom="0.7480314960629921" footer="0.0" header="0.0" left="0.7086614173228347" right="0.7086614173228347" top="0.7480314960629921"/>
  <pageSetup paperSize="9" orientation="landscape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2011-06-28T05:17:16Z</dcterms:created>
  <dc:creator>7pyramid</dc:creator>
</cp:coreProperties>
</file>